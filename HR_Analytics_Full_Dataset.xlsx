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D:\MEHUL\Exel Data\HR_PROJECT\"/>
    </mc:Choice>
  </mc:AlternateContent>
  <xr:revisionPtr revIDLastSave="0" documentId="8_{264CC19C-CCBA-4641-928F-B22AEAA63B63}" xr6:coauthVersionLast="47" xr6:coauthVersionMax="47" xr10:uidLastSave="{00000000-0000-0000-0000-000000000000}"/>
  <bookViews>
    <workbookView xWindow="-108" yWindow="-108" windowWidth="23256" windowHeight="12456" activeTab="2" xr2:uid="{00000000-000D-0000-FFFF-FFFF00000000}"/>
  </bookViews>
  <sheets>
    <sheet name="HR_Table" sheetId="1" r:id="rId1"/>
    <sheet name="HR_Analysis" sheetId="2" r:id="rId2"/>
    <sheet name="HR_Dashboard" sheetId="4" r:id="rId3"/>
  </sheets>
  <definedNames>
    <definedName name="Slicer_Department">#N/A</definedName>
    <definedName name="Slicer_Job_Role">#N/A</definedName>
    <definedName name="Slicer_Work_Life_Balanc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 i="2" l="1"/>
  <c r="F2" i="2"/>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E2" i="2"/>
  <c r="D2" i="2"/>
  <c r="C2" i="2"/>
  <c r="B2" i="2"/>
  <c r="A2" i="2"/>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alcChain>
</file>

<file path=xl/sharedStrings.xml><?xml version="1.0" encoding="utf-8"?>
<sst xmlns="http://schemas.openxmlformats.org/spreadsheetml/2006/main" count="2196" uniqueCount="368">
  <si>
    <t>Employee_ID</t>
  </si>
  <si>
    <t>Gender</t>
  </si>
  <si>
    <t>Age</t>
  </si>
  <si>
    <t>Department</t>
  </si>
  <si>
    <t>Job_Role</t>
  </si>
  <si>
    <t>Education</t>
  </si>
  <si>
    <t>Monthly_Salary</t>
  </si>
  <si>
    <t>Joining_Date</t>
  </si>
  <si>
    <t>Exit_Date</t>
  </si>
  <si>
    <t>Performance_Rating</t>
  </si>
  <si>
    <t>Work_Life_Balance</t>
  </si>
  <si>
    <t>Attrition</t>
  </si>
  <si>
    <t>E001</t>
  </si>
  <si>
    <t>E002</t>
  </si>
  <si>
    <t>E003</t>
  </si>
  <si>
    <t>E004</t>
  </si>
  <si>
    <t>E005</t>
  </si>
  <si>
    <t>E006</t>
  </si>
  <si>
    <t>E007</t>
  </si>
  <si>
    <t>E008</t>
  </si>
  <si>
    <t>E009</t>
  </si>
  <si>
    <t>E010</t>
  </si>
  <si>
    <t>E011</t>
  </si>
  <si>
    <t>E012</t>
  </si>
  <si>
    <t>E013</t>
  </si>
  <si>
    <t>E014</t>
  </si>
  <si>
    <t>E015</t>
  </si>
  <si>
    <t>E016</t>
  </si>
  <si>
    <t>E017</t>
  </si>
  <si>
    <t>E018</t>
  </si>
  <si>
    <t>E019</t>
  </si>
  <si>
    <t>E020</t>
  </si>
  <si>
    <t>E021</t>
  </si>
  <si>
    <t>E022</t>
  </si>
  <si>
    <t>E023</t>
  </si>
  <si>
    <t>E024</t>
  </si>
  <si>
    <t>E025</t>
  </si>
  <si>
    <t>E026</t>
  </si>
  <si>
    <t>E027</t>
  </si>
  <si>
    <t>E028</t>
  </si>
  <si>
    <t>E029</t>
  </si>
  <si>
    <t>E030</t>
  </si>
  <si>
    <t>E031</t>
  </si>
  <si>
    <t>E032</t>
  </si>
  <si>
    <t>E033</t>
  </si>
  <si>
    <t>E034</t>
  </si>
  <si>
    <t>E035</t>
  </si>
  <si>
    <t>E036</t>
  </si>
  <si>
    <t>E037</t>
  </si>
  <si>
    <t>E038</t>
  </si>
  <si>
    <t>E039</t>
  </si>
  <si>
    <t>E040</t>
  </si>
  <si>
    <t>E041</t>
  </si>
  <si>
    <t>E042</t>
  </si>
  <si>
    <t>E043</t>
  </si>
  <si>
    <t>E044</t>
  </si>
  <si>
    <t>E045</t>
  </si>
  <si>
    <t>E046</t>
  </si>
  <si>
    <t>E047</t>
  </si>
  <si>
    <t>E048</t>
  </si>
  <si>
    <t>E049</t>
  </si>
  <si>
    <t>E050</t>
  </si>
  <si>
    <t>E051</t>
  </si>
  <si>
    <t>E052</t>
  </si>
  <si>
    <t>E053</t>
  </si>
  <si>
    <t>E054</t>
  </si>
  <si>
    <t>E055</t>
  </si>
  <si>
    <t>E056</t>
  </si>
  <si>
    <t>E057</t>
  </si>
  <si>
    <t>E058</t>
  </si>
  <si>
    <t>E059</t>
  </si>
  <si>
    <t>E060</t>
  </si>
  <si>
    <t>E061</t>
  </si>
  <si>
    <t>E062</t>
  </si>
  <si>
    <t>E063</t>
  </si>
  <si>
    <t>E064</t>
  </si>
  <si>
    <t>E065</t>
  </si>
  <si>
    <t>E066</t>
  </si>
  <si>
    <t>E067</t>
  </si>
  <si>
    <t>E068</t>
  </si>
  <si>
    <t>E069</t>
  </si>
  <si>
    <t>E070</t>
  </si>
  <si>
    <t>E071</t>
  </si>
  <si>
    <t>E072</t>
  </si>
  <si>
    <t>E073</t>
  </si>
  <si>
    <t>E074</t>
  </si>
  <si>
    <t>E075</t>
  </si>
  <si>
    <t>E076</t>
  </si>
  <si>
    <t>E077</t>
  </si>
  <si>
    <t>E078</t>
  </si>
  <si>
    <t>E079</t>
  </si>
  <si>
    <t>E080</t>
  </si>
  <si>
    <t>E081</t>
  </si>
  <si>
    <t>E082</t>
  </si>
  <si>
    <t>E083</t>
  </si>
  <si>
    <t>E084</t>
  </si>
  <si>
    <t>E085</t>
  </si>
  <si>
    <t>E086</t>
  </si>
  <si>
    <t>E087</t>
  </si>
  <si>
    <t>E088</t>
  </si>
  <si>
    <t>E089</t>
  </si>
  <si>
    <t>E090</t>
  </si>
  <si>
    <t>E091</t>
  </si>
  <si>
    <t>E092</t>
  </si>
  <si>
    <t>E093</t>
  </si>
  <si>
    <t>E094</t>
  </si>
  <si>
    <t>E095</t>
  </si>
  <si>
    <t>E096</t>
  </si>
  <si>
    <t>E097</t>
  </si>
  <si>
    <t>E098</t>
  </si>
  <si>
    <t>E099</t>
  </si>
  <si>
    <t>E100</t>
  </si>
  <si>
    <t>E101</t>
  </si>
  <si>
    <t>E102</t>
  </si>
  <si>
    <t>E103</t>
  </si>
  <si>
    <t>E104</t>
  </si>
  <si>
    <t>E105</t>
  </si>
  <si>
    <t>E106</t>
  </si>
  <si>
    <t>E107</t>
  </si>
  <si>
    <t>E108</t>
  </si>
  <si>
    <t>E109</t>
  </si>
  <si>
    <t>E110</t>
  </si>
  <si>
    <t>E111</t>
  </si>
  <si>
    <t>E112</t>
  </si>
  <si>
    <t>E113</t>
  </si>
  <si>
    <t>E114</t>
  </si>
  <si>
    <t>E115</t>
  </si>
  <si>
    <t>E116</t>
  </si>
  <si>
    <t>E117</t>
  </si>
  <si>
    <t>E118</t>
  </si>
  <si>
    <t>E119</t>
  </si>
  <si>
    <t>E120</t>
  </si>
  <si>
    <t>E121</t>
  </si>
  <si>
    <t>E122</t>
  </si>
  <si>
    <t>E123</t>
  </si>
  <si>
    <t>E124</t>
  </si>
  <si>
    <t>E125</t>
  </si>
  <si>
    <t>E126</t>
  </si>
  <si>
    <t>E127</t>
  </si>
  <si>
    <t>E128</t>
  </si>
  <si>
    <t>E129</t>
  </si>
  <si>
    <t>E130</t>
  </si>
  <si>
    <t>E131</t>
  </si>
  <si>
    <t>E132</t>
  </si>
  <si>
    <t>E133</t>
  </si>
  <si>
    <t>E134</t>
  </si>
  <si>
    <t>E135</t>
  </si>
  <si>
    <t>E136</t>
  </si>
  <si>
    <t>E137</t>
  </si>
  <si>
    <t>E138</t>
  </si>
  <si>
    <t>E139</t>
  </si>
  <si>
    <t>E140</t>
  </si>
  <si>
    <t>E141</t>
  </si>
  <si>
    <t>E142</t>
  </si>
  <si>
    <t>E143</t>
  </si>
  <si>
    <t>E144</t>
  </si>
  <si>
    <t>E145</t>
  </si>
  <si>
    <t>E146</t>
  </si>
  <si>
    <t>E147</t>
  </si>
  <si>
    <t>E148</t>
  </si>
  <si>
    <t>E149</t>
  </si>
  <si>
    <t>E150</t>
  </si>
  <si>
    <t>E151</t>
  </si>
  <si>
    <t>E152</t>
  </si>
  <si>
    <t>E153</t>
  </si>
  <si>
    <t>E154</t>
  </si>
  <si>
    <t>E155</t>
  </si>
  <si>
    <t>E156</t>
  </si>
  <si>
    <t>E157</t>
  </si>
  <si>
    <t>E158</t>
  </si>
  <si>
    <t>E159</t>
  </si>
  <si>
    <t>E160</t>
  </si>
  <si>
    <t>E161</t>
  </si>
  <si>
    <t>E162</t>
  </si>
  <si>
    <t>E163</t>
  </si>
  <si>
    <t>E164</t>
  </si>
  <si>
    <t>E165</t>
  </si>
  <si>
    <t>E166</t>
  </si>
  <si>
    <t>E167</t>
  </si>
  <si>
    <t>E168</t>
  </si>
  <si>
    <t>E169</t>
  </si>
  <si>
    <t>E170</t>
  </si>
  <si>
    <t>E171</t>
  </si>
  <si>
    <t>E172</t>
  </si>
  <si>
    <t>E173</t>
  </si>
  <si>
    <t>E174</t>
  </si>
  <si>
    <t>E175</t>
  </si>
  <si>
    <t>E176</t>
  </si>
  <si>
    <t>E177</t>
  </si>
  <si>
    <t>E178</t>
  </si>
  <si>
    <t>E179</t>
  </si>
  <si>
    <t>E180</t>
  </si>
  <si>
    <t>E181</t>
  </si>
  <si>
    <t>E182</t>
  </si>
  <si>
    <t>E183</t>
  </si>
  <si>
    <t>E184</t>
  </si>
  <si>
    <t>E185</t>
  </si>
  <si>
    <t>E186</t>
  </si>
  <si>
    <t>E187</t>
  </si>
  <si>
    <t>E188</t>
  </si>
  <si>
    <t>E189</t>
  </si>
  <si>
    <t>E190</t>
  </si>
  <si>
    <t>E191</t>
  </si>
  <si>
    <t>E192</t>
  </si>
  <si>
    <t>E193</t>
  </si>
  <si>
    <t>E194</t>
  </si>
  <si>
    <t>E195</t>
  </si>
  <si>
    <t>E196</t>
  </si>
  <si>
    <t>E197</t>
  </si>
  <si>
    <t>E198</t>
  </si>
  <si>
    <t>E199</t>
  </si>
  <si>
    <t>E200</t>
  </si>
  <si>
    <t>E201</t>
  </si>
  <si>
    <t>E202</t>
  </si>
  <si>
    <t>E203</t>
  </si>
  <si>
    <t>E204</t>
  </si>
  <si>
    <t>E205</t>
  </si>
  <si>
    <t>E206</t>
  </si>
  <si>
    <t>E207</t>
  </si>
  <si>
    <t>E208</t>
  </si>
  <si>
    <t>E209</t>
  </si>
  <si>
    <t>E210</t>
  </si>
  <si>
    <t>E211</t>
  </si>
  <si>
    <t>E212</t>
  </si>
  <si>
    <t>E213</t>
  </si>
  <si>
    <t>E214</t>
  </si>
  <si>
    <t>E215</t>
  </si>
  <si>
    <t>E216</t>
  </si>
  <si>
    <t>E217</t>
  </si>
  <si>
    <t>E218</t>
  </si>
  <si>
    <t>E219</t>
  </si>
  <si>
    <t>E220</t>
  </si>
  <si>
    <t>E221</t>
  </si>
  <si>
    <t>E222</t>
  </si>
  <si>
    <t>E223</t>
  </si>
  <si>
    <t>E224</t>
  </si>
  <si>
    <t>E225</t>
  </si>
  <si>
    <t>E226</t>
  </si>
  <si>
    <t>E227</t>
  </si>
  <si>
    <t>E228</t>
  </si>
  <si>
    <t>E229</t>
  </si>
  <si>
    <t>E230</t>
  </si>
  <si>
    <t>E231</t>
  </si>
  <si>
    <t>E232</t>
  </si>
  <si>
    <t>E233</t>
  </si>
  <si>
    <t>E234</t>
  </si>
  <si>
    <t>E235</t>
  </si>
  <si>
    <t>E236</t>
  </si>
  <si>
    <t>E237</t>
  </si>
  <si>
    <t>E238</t>
  </si>
  <si>
    <t>E239</t>
  </si>
  <si>
    <t>E240</t>
  </si>
  <si>
    <t>E241</t>
  </si>
  <si>
    <t>E242</t>
  </si>
  <si>
    <t>E243</t>
  </si>
  <si>
    <t>E244</t>
  </si>
  <si>
    <t>E245</t>
  </si>
  <si>
    <t>E246</t>
  </si>
  <si>
    <t>E247</t>
  </si>
  <si>
    <t>E248</t>
  </si>
  <si>
    <t>E249</t>
  </si>
  <si>
    <t>E250</t>
  </si>
  <si>
    <t>E251</t>
  </si>
  <si>
    <t>E252</t>
  </si>
  <si>
    <t>E253</t>
  </si>
  <si>
    <t>E254</t>
  </si>
  <si>
    <t>E255</t>
  </si>
  <si>
    <t>E256</t>
  </si>
  <si>
    <t>E257</t>
  </si>
  <si>
    <t>E258</t>
  </si>
  <si>
    <t>E259</t>
  </si>
  <si>
    <t>E260</t>
  </si>
  <si>
    <t>E261</t>
  </si>
  <si>
    <t>E262</t>
  </si>
  <si>
    <t>E263</t>
  </si>
  <si>
    <t>E264</t>
  </si>
  <si>
    <t>E265</t>
  </si>
  <si>
    <t>E266</t>
  </si>
  <si>
    <t>E267</t>
  </si>
  <si>
    <t>E268</t>
  </si>
  <si>
    <t>E269</t>
  </si>
  <si>
    <t>E270</t>
  </si>
  <si>
    <t>E271</t>
  </si>
  <si>
    <t>E272</t>
  </si>
  <si>
    <t>E273</t>
  </si>
  <si>
    <t>E274</t>
  </si>
  <si>
    <t>E275</t>
  </si>
  <si>
    <t>E276</t>
  </si>
  <si>
    <t>E277</t>
  </si>
  <si>
    <t>E278</t>
  </si>
  <si>
    <t>E279</t>
  </si>
  <si>
    <t>E280</t>
  </si>
  <si>
    <t>E281</t>
  </si>
  <si>
    <t>E282</t>
  </si>
  <si>
    <t>E283</t>
  </si>
  <si>
    <t>E284</t>
  </si>
  <si>
    <t>E285</t>
  </si>
  <si>
    <t>E286</t>
  </si>
  <si>
    <t>E287</t>
  </si>
  <si>
    <t>E288</t>
  </si>
  <si>
    <t>E289</t>
  </si>
  <si>
    <t>E290</t>
  </si>
  <si>
    <t>E291</t>
  </si>
  <si>
    <t>E292</t>
  </si>
  <si>
    <t>E293</t>
  </si>
  <si>
    <t>E294</t>
  </si>
  <si>
    <t>E295</t>
  </si>
  <si>
    <t>E296</t>
  </si>
  <si>
    <t>E297</t>
  </si>
  <si>
    <t>E298</t>
  </si>
  <si>
    <t>E299</t>
  </si>
  <si>
    <t>E300</t>
  </si>
  <si>
    <t>Male</t>
  </si>
  <si>
    <t>Female</t>
  </si>
  <si>
    <t>HR</t>
  </si>
  <si>
    <t>Operations</t>
  </si>
  <si>
    <t>Sales</t>
  </si>
  <si>
    <t>IT</t>
  </si>
  <si>
    <t>Finance</t>
  </si>
  <si>
    <t>Executive</t>
  </si>
  <si>
    <t>Manager</t>
  </si>
  <si>
    <t>Analyst</t>
  </si>
  <si>
    <t>Engineer</t>
  </si>
  <si>
    <t>Graduate</t>
  </si>
  <si>
    <t>Post Graduate</t>
  </si>
  <si>
    <t>Poor</t>
  </si>
  <si>
    <t>Excellent</t>
  </si>
  <si>
    <t>Average</t>
  </si>
  <si>
    <t>Good</t>
  </si>
  <si>
    <t>No</t>
  </si>
  <si>
    <t>Yes</t>
  </si>
  <si>
    <t>Years_or_Service</t>
  </si>
  <si>
    <t>Age_Group</t>
  </si>
  <si>
    <t>Total Employee</t>
  </si>
  <si>
    <t>Active Employee</t>
  </si>
  <si>
    <t>Attrition Rate</t>
  </si>
  <si>
    <t>Avg Salary</t>
  </si>
  <si>
    <t>Avg Rating</t>
  </si>
  <si>
    <t>Join_Year</t>
  </si>
  <si>
    <t>Row Labels</t>
  </si>
  <si>
    <t>Grand Total</t>
  </si>
  <si>
    <t>Growth</t>
  </si>
  <si>
    <t>Count of Attrition</t>
  </si>
  <si>
    <t>Count of Employee_ID</t>
  </si>
  <si>
    <t>HeadCount by Department</t>
  </si>
  <si>
    <t>Attrition by Age Group</t>
  </si>
  <si>
    <t>30-40</t>
  </si>
  <si>
    <t>Above 40</t>
  </si>
  <si>
    <t>Under 30</t>
  </si>
  <si>
    <t>Average of Monthly_Salary</t>
  </si>
  <si>
    <t>Average Sales by Department</t>
  </si>
  <si>
    <t>2016</t>
  </si>
  <si>
    <t>2017</t>
  </si>
  <si>
    <t>2018</t>
  </si>
  <si>
    <t>2019</t>
  </si>
  <si>
    <t>2020</t>
  </si>
  <si>
    <t>2021</t>
  </si>
  <si>
    <t>2022</t>
  </si>
  <si>
    <t>2023</t>
  </si>
  <si>
    <t>2024</t>
  </si>
  <si>
    <t>Count of Join_Year</t>
  </si>
  <si>
    <t>Count of Exit_Date</t>
  </si>
  <si>
    <t>AttritionCount by Department</t>
  </si>
  <si>
    <t>Average of Performance_Rating</t>
  </si>
  <si>
    <t>Average Rating by Gender</t>
  </si>
  <si>
    <t>Performance Rating by Dept</t>
  </si>
  <si>
    <r>
      <rPr>
        <sz val="10"/>
        <color theme="1"/>
        <rFont val="Bahnschrift SemiBold"/>
        <family val="2"/>
      </rPr>
      <t>Hiring Trend</t>
    </r>
    <r>
      <rPr>
        <sz val="10"/>
        <color theme="1"/>
        <rFont val="Calibri"/>
        <family val="2"/>
        <scheme val="minor"/>
      </rPr>
      <t xml:space="preserve"> (Employees Joined Per Year)</t>
    </r>
  </si>
  <si>
    <r>
      <rPr>
        <sz val="10"/>
        <color theme="1"/>
        <rFont val="Bahnschrift SemiBold"/>
        <family val="2"/>
      </rPr>
      <t>Hiring Trend</t>
    </r>
    <r>
      <rPr>
        <sz val="10"/>
        <color theme="1"/>
        <rFont val="Calibri"/>
        <family val="2"/>
        <scheme val="minor"/>
      </rPr>
      <t xml:space="preserve"> (Employees LEFT Per Year)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</si>
</sst>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 &quot;₹&quot;\ * #,##0.00_ ;_ &quot;₹&quot;\ * \-#,##0.00_ ;_ &quot;₹&quot;\ * &quot;-&quot;??_ ;_ @_ "/>
    <numFmt numFmtId="43" formatCode="_ * #,##0.00_ ;_ * \-#,##0.00_ ;_ * &quot;-&quot;??_ ;_ @_ "/>
    <numFmt numFmtId="164" formatCode="yyyy\-mm\-dd"/>
    <numFmt numFmtId="165" formatCode="0.0"/>
    <numFmt numFmtId="166" formatCode="_-[$$-409]* #,##0.00_ ;_-[$$-409]* \-#,##0.00\ ;_-[$$-409]* &quot;-&quot;??_ ;_-@_ "/>
    <numFmt numFmtId="167" formatCode="_ * #,##0_ ;_ * \-#,##0_ ;_ * &quot;-&quot;??_ ;_ @_ "/>
  </numFmts>
  <fonts count="7" x14ac:knownFonts="1">
    <font>
      <sz val="11"/>
      <color theme="1"/>
      <name val="Calibri"/>
      <family val="2"/>
      <scheme val="minor"/>
    </font>
    <font>
      <b/>
      <sz val="11"/>
      <color theme="1"/>
      <name val="Calibri"/>
      <family val="2"/>
      <scheme val="minor"/>
    </font>
    <font>
      <sz val="11"/>
      <color theme="1"/>
      <name val="Calibri"/>
      <family val="2"/>
      <scheme val="minor"/>
    </font>
    <font>
      <sz val="8"/>
      <name val="Calibri"/>
      <family val="2"/>
      <scheme val="minor"/>
    </font>
    <font>
      <sz val="9"/>
      <color theme="1"/>
      <name val="Calibri"/>
      <family val="2"/>
      <scheme val="minor"/>
    </font>
    <font>
      <sz val="10"/>
      <color theme="1"/>
      <name val="Bahnschrift SemiBold"/>
      <family val="2"/>
    </font>
    <font>
      <sz val="10"/>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s>
  <borders count="14">
    <border>
      <left/>
      <right/>
      <top/>
      <bottom/>
      <diagonal/>
    </border>
    <border>
      <left style="thin">
        <color auto="1"/>
      </left>
      <right style="thin">
        <color auto="1"/>
      </right>
      <top/>
      <bottom style="thin">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
    <xf numFmtId="0" fontId="0" fillId="0" borderId="0"/>
    <xf numFmtId="43" fontId="2" fillId="0" borderId="0" applyFont="0" applyFill="0" applyBorder="0" applyAlignment="0" applyProtection="0"/>
    <xf numFmtId="9" fontId="2" fillId="0" borderId="0" applyFont="0" applyFill="0" applyBorder="0" applyAlignment="0" applyProtection="0"/>
    <xf numFmtId="44" fontId="2" fillId="0" borderId="0" applyFont="0" applyFill="0" applyBorder="0" applyAlignment="0" applyProtection="0"/>
  </cellStyleXfs>
  <cellXfs count="29">
    <xf numFmtId="0" fontId="0" fillId="0" borderId="0" xfId="0"/>
    <xf numFmtId="164" fontId="0" fillId="0" borderId="0" xfId="0" applyNumberFormat="1"/>
    <xf numFmtId="0" fontId="1" fillId="0" borderId="1" xfId="0" applyFont="1" applyBorder="1" applyAlignment="1">
      <alignment horizontal="center" vertical="top"/>
    </xf>
    <xf numFmtId="0" fontId="0" fillId="3" borderId="0" xfId="0" applyFill="1"/>
    <xf numFmtId="166" fontId="0" fillId="3" borderId="0" xfId="0" applyNumberFormat="1" applyFill="1"/>
    <xf numFmtId="0" fontId="0" fillId="0" borderId="4" xfId="0" pivotButton="1" applyBorder="1"/>
    <xf numFmtId="0" fontId="0" fillId="0" borderId="5" xfId="0" applyBorder="1"/>
    <xf numFmtId="0" fontId="0" fillId="0" borderId="4" xfId="0" applyBorder="1" applyAlignment="1">
      <alignment horizontal="left"/>
    </xf>
    <xf numFmtId="1" fontId="0" fillId="0" borderId="5" xfId="0" applyNumberFormat="1" applyBorder="1"/>
    <xf numFmtId="0" fontId="0" fillId="0" borderId="6" xfId="0" applyBorder="1" applyAlignment="1">
      <alignment horizontal="left"/>
    </xf>
    <xf numFmtId="1" fontId="0" fillId="0" borderId="7" xfId="0" applyNumberFormat="1" applyBorder="1"/>
    <xf numFmtId="2" fontId="0" fillId="0" borderId="5" xfId="0" applyNumberFormat="1" applyBorder="1"/>
    <xf numFmtId="167" fontId="0" fillId="0" borderId="5" xfId="0" applyNumberFormat="1" applyBorder="1"/>
    <xf numFmtId="167" fontId="0" fillId="0" borderId="7" xfId="0" applyNumberFormat="1" applyBorder="1"/>
    <xf numFmtId="0" fontId="0" fillId="2" borderId="8" xfId="0" applyFill="1" applyBorder="1"/>
    <xf numFmtId="0" fontId="0" fillId="2" borderId="9" xfId="0" applyFill="1" applyBorder="1"/>
    <xf numFmtId="0" fontId="0" fillId="0" borderId="11" xfId="0" applyBorder="1"/>
    <xf numFmtId="0" fontId="0" fillId="0" borderId="12" xfId="0" applyBorder="1"/>
    <xf numFmtId="10" fontId="0" fillId="0" borderId="12" xfId="2" applyNumberFormat="1" applyFont="1" applyBorder="1"/>
    <xf numFmtId="166" fontId="0" fillId="0" borderId="12" xfId="1" applyNumberFormat="1" applyFont="1" applyBorder="1"/>
    <xf numFmtId="165" fontId="0" fillId="0" borderId="12" xfId="0" applyNumberFormat="1" applyBorder="1"/>
    <xf numFmtId="0" fontId="0" fillId="0" borderId="12" xfId="3" applyNumberFormat="1" applyFont="1" applyBorder="1"/>
    <xf numFmtId="9" fontId="0" fillId="0" borderId="13" xfId="2" applyFont="1" applyBorder="1"/>
    <xf numFmtId="0" fontId="0" fillId="2" borderId="2" xfId="0" applyFill="1" applyBorder="1" applyAlignment="1">
      <alignment horizontal="center"/>
    </xf>
    <xf numFmtId="0" fontId="0" fillId="2" borderId="3" xfId="0" applyFill="1" applyBorder="1" applyAlignment="1">
      <alignment horizontal="center"/>
    </xf>
    <xf numFmtId="0" fontId="0" fillId="2" borderId="9" xfId="0" applyFill="1" applyBorder="1" applyAlignment="1">
      <alignment horizontal="center"/>
    </xf>
    <xf numFmtId="0" fontId="0" fillId="2" borderId="10" xfId="0" applyFill="1" applyBorder="1" applyAlignment="1">
      <alignment horizontal="center"/>
    </xf>
    <xf numFmtId="0" fontId="6" fillId="2" borderId="2" xfId="0" applyFont="1" applyFill="1" applyBorder="1" applyAlignment="1">
      <alignment horizontal="center"/>
    </xf>
    <xf numFmtId="0" fontId="4" fillId="2" borderId="3" xfId="0" applyFont="1" applyFill="1" applyBorder="1" applyAlignment="1">
      <alignment horizontal="center"/>
    </xf>
  </cellXfs>
  <cellStyles count="4">
    <cellStyle name="Comma" xfId="1" builtinId="3"/>
    <cellStyle name="Currency" xfId="3" builtinId="4"/>
    <cellStyle name="Normal" xfId="0" builtinId="0"/>
    <cellStyle name="Percent" xfId="2" builtinId="5"/>
  </cellStyles>
  <dxfs count="74">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numFmt numFmtId="2" formatCode="0.00"/>
    </dxf>
    <dxf>
      <numFmt numFmtId="0" formatCode="General"/>
    </dxf>
    <dxf>
      <numFmt numFmtId="0" formatCode="General"/>
    </dxf>
    <dxf>
      <numFmt numFmtId="0" formatCode="General"/>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b/>
        <color theme="1"/>
      </font>
      <border diagonalUp="0" diagonalDown="0">
        <left/>
        <right/>
        <top/>
        <bottom/>
        <vertical/>
        <horizontal/>
      </border>
    </dxf>
    <dxf>
      <font>
        <sz val="12"/>
        <color theme="1"/>
      </font>
      <border diagonalUp="0" diagonalDown="0">
        <left/>
        <right/>
        <top/>
        <bottom/>
        <vertical/>
        <horizontal/>
      </border>
    </dxf>
  </dxfs>
  <tableStyles count="1" defaultTableStyle="TableStyleMedium9" defaultPivotStyle="PivotStyleLight16">
    <tableStyle name="MYslicer" pivot="0" table="0" count="10" xr9:uid="{912F3E90-5EEA-4814-9A2E-BDF3C8685CAA}">
      <tableStyleElement type="wholeTable" dxfId="73"/>
      <tableStyleElement type="headerRow" dxfId="72"/>
    </tableStyle>
  </tableStyles>
  <colors>
    <mruColors>
      <color rgb="FF7F75FD"/>
    </mruColors>
  </colors>
  <extLst>
    <ext xmlns:x14="http://schemas.microsoft.com/office/spreadsheetml/2009/9/main" uri="{46F421CA-312F-682f-3DD2-61675219B42D}">
      <x14:dxfs count="8">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[HR_Analytics_Full_Dataset.xlsx]HR_Analysis!HCbyDept</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tx2">
              <a:lumMod val="40000"/>
              <a:lumOff val="60000"/>
            </a:schemeClr>
          </a:solidFill>
          <a:ln w="19050">
            <a:noFill/>
          </a:ln>
          <a:effectLst>
            <a:glow>
              <a:schemeClr val="accent1">
                <a:alpha val="23000"/>
              </a:schemeClr>
            </a:glo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ahnschrift SemiBol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60000"/>
              <a:lumOff val="40000"/>
            </a:schemeClr>
          </a:solidFill>
          <a:ln w="19050">
            <a:noFill/>
          </a:ln>
          <a:effectLst>
            <a:glow>
              <a:schemeClr val="accent1">
                <a:alpha val="23000"/>
              </a:schemeClr>
            </a:glow>
            <a:softEdge rad="0"/>
          </a:effectLst>
        </c:spPr>
      </c:pivotFmt>
      <c:pivotFmt>
        <c:idx val="9"/>
        <c:spPr>
          <a:solidFill>
            <a:schemeClr val="accent1">
              <a:lumMod val="75000"/>
            </a:schemeClr>
          </a:solidFill>
          <a:ln w="19050">
            <a:noFill/>
          </a:ln>
          <a:effectLst>
            <a:glow>
              <a:schemeClr val="accent1">
                <a:alpha val="23000"/>
              </a:schemeClr>
            </a:glow>
            <a:softEdge rad="0"/>
          </a:effectLst>
        </c:spPr>
      </c:pivotFmt>
      <c:pivotFmt>
        <c:idx val="10"/>
        <c:spPr>
          <a:solidFill>
            <a:schemeClr val="tx2">
              <a:lumMod val="40000"/>
              <a:lumOff val="60000"/>
            </a:schemeClr>
          </a:solidFill>
          <a:ln w="19050">
            <a:noFill/>
          </a:ln>
          <a:effectLst>
            <a:glow>
              <a:schemeClr val="accent1">
                <a:alpha val="23000"/>
              </a:schemeClr>
            </a:glow>
            <a:softEdge rad="0"/>
          </a:effectLst>
        </c:spPr>
      </c:pivotFmt>
      <c:pivotFmt>
        <c:idx val="11"/>
        <c:spPr>
          <a:solidFill>
            <a:schemeClr val="accent1">
              <a:lumMod val="75000"/>
            </a:schemeClr>
          </a:solidFill>
          <a:ln w="19050">
            <a:noFill/>
          </a:ln>
          <a:effectLst>
            <a:glow>
              <a:schemeClr val="accent1">
                <a:alpha val="23000"/>
              </a:schemeClr>
            </a:glow>
            <a:softEdge rad="0"/>
          </a:effectLst>
        </c:spPr>
      </c:pivotFmt>
      <c:pivotFmt>
        <c:idx val="12"/>
        <c:spPr>
          <a:solidFill>
            <a:schemeClr val="tx2">
              <a:lumMod val="40000"/>
              <a:lumOff val="60000"/>
            </a:schemeClr>
          </a:solidFill>
          <a:ln w="19050">
            <a:noFill/>
          </a:ln>
          <a:effectLst>
            <a:glow>
              <a:schemeClr val="accent1">
                <a:alpha val="23000"/>
              </a:schemeClr>
            </a:glow>
            <a:softEdge rad="0"/>
          </a:effectLst>
        </c:spPr>
      </c:pivotFmt>
    </c:pivotFmts>
    <c:plotArea>
      <c:layout>
        <c:manualLayout>
          <c:layoutTarget val="inner"/>
          <c:xMode val="edge"/>
          <c:yMode val="edge"/>
          <c:x val="7.5385578408741841E-2"/>
          <c:y val="7.857294730500726E-2"/>
          <c:w val="0.53197589668033218"/>
          <c:h val="0.83213859625142794"/>
        </c:manualLayout>
      </c:layout>
      <c:doughnutChart>
        <c:varyColors val="1"/>
        <c:ser>
          <c:idx val="0"/>
          <c:order val="0"/>
          <c:tx>
            <c:strRef>
              <c:f>HR_Analysis!$B$14</c:f>
              <c:strCache>
                <c:ptCount val="1"/>
                <c:pt idx="0">
                  <c:v>Total</c:v>
                </c:pt>
              </c:strCache>
            </c:strRef>
          </c:tx>
          <c:spPr>
            <a:solidFill>
              <a:schemeClr val="tx2">
                <a:lumMod val="40000"/>
                <a:lumOff val="60000"/>
              </a:schemeClr>
            </a:solidFill>
            <a:ln>
              <a:noFill/>
            </a:ln>
            <a:effectLst>
              <a:glow>
                <a:schemeClr val="accent1">
                  <a:alpha val="23000"/>
                </a:schemeClr>
              </a:glow>
              <a:softEdge rad="0"/>
            </a:effectLst>
          </c:spPr>
          <c:dPt>
            <c:idx val="0"/>
            <c:bubble3D val="0"/>
            <c:explosion val="1"/>
            <c:spPr>
              <a:solidFill>
                <a:schemeClr val="tx2">
                  <a:lumMod val="60000"/>
                  <a:lumOff val="40000"/>
                </a:schemeClr>
              </a:solidFill>
              <a:ln w="19050">
                <a:noFill/>
              </a:ln>
              <a:effectLst>
                <a:glow>
                  <a:schemeClr val="accent1">
                    <a:alpha val="23000"/>
                  </a:schemeClr>
                </a:glow>
                <a:softEdge rad="0"/>
              </a:effectLst>
            </c:spPr>
            <c:extLst>
              <c:ext xmlns:c16="http://schemas.microsoft.com/office/drawing/2014/chart" uri="{C3380CC4-5D6E-409C-BE32-E72D297353CC}">
                <c16:uniqueId val="{00000001-3840-4DC3-BBE7-5E4E5181FA89}"/>
              </c:ext>
            </c:extLst>
          </c:dPt>
          <c:dPt>
            <c:idx val="1"/>
            <c:bubble3D val="0"/>
            <c:spPr>
              <a:solidFill>
                <a:schemeClr val="accent1">
                  <a:lumMod val="75000"/>
                </a:schemeClr>
              </a:solidFill>
              <a:ln w="19050">
                <a:noFill/>
              </a:ln>
              <a:effectLst>
                <a:glow>
                  <a:schemeClr val="accent1">
                    <a:alpha val="23000"/>
                  </a:schemeClr>
                </a:glow>
                <a:softEdge rad="0"/>
              </a:effectLst>
            </c:spPr>
            <c:extLst>
              <c:ext xmlns:c16="http://schemas.microsoft.com/office/drawing/2014/chart" uri="{C3380CC4-5D6E-409C-BE32-E72D297353CC}">
                <c16:uniqueId val="{00000003-3840-4DC3-BBE7-5E4E5181FA89}"/>
              </c:ext>
            </c:extLst>
          </c:dPt>
          <c:dPt>
            <c:idx val="2"/>
            <c:bubble3D val="0"/>
            <c:spPr>
              <a:solidFill>
                <a:schemeClr val="tx2">
                  <a:lumMod val="40000"/>
                  <a:lumOff val="60000"/>
                </a:schemeClr>
              </a:solidFill>
              <a:ln w="19050">
                <a:noFill/>
              </a:ln>
              <a:effectLst>
                <a:glow>
                  <a:schemeClr val="accent1">
                    <a:alpha val="23000"/>
                  </a:schemeClr>
                </a:glow>
                <a:softEdge rad="0"/>
              </a:effectLst>
            </c:spPr>
            <c:extLst>
              <c:ext xmlns:c16="http://schemas.microsoft.com/office/drawing/2014/chart" uri="{C3380CC4-5D6E-409C-BE32-E72D297353CC}">
                <c16:uniqueId val="{00000005-3840-4DC3-BBE7-5E4E5181FA89}"/>
              </c:ext>
            </c:extLst>
          </c:dPt>
          <c:dPt>
            <c:idx val="3"/>
            <c:bubble3D val="0"/>
            <c:spPr>
              <a:solidFill>
                <a:schemeClr val="accent1">
                  <a:lumMod val="75000"/>
                </a:schemeClr>
              </a:solidFill>
              <a:ln w="19050">
                <a:noFill/>
              </a:ln>
              <a:effectLst>
                <a:glow>
                  <a:schemeClr val="accent1">
                    <a:alpha val="23000"/>
                  </a:schemeClr>
                </a:glow>
                <a:softEdge rad="0"/>
              </a:effectLst>
            </c:spPr>
            <c:extLst>
              <c:ext xmlns:c16="http://schemas.microsoft.com/office/drawing/2014/chart" uri="{C3380CC4-5D6E-409C-BE32-E72D297353CC}">
                <c16:uniqueId val="{00000007-3840-4DC3-BBE7-5E4E5181FA89}"/>
              </c:ext>
            </c:extLst>
          </c:dPt>
          <c:dPt>
            <c:idx val="4"/>
            <c:bubble3D val="0"/>
            <c:spPr>
              <a:solidFill>
                <a:schemeClr val="tx2">
                  <a:lumMod val="40000"/>
                  <a:lumOff val="60000"/>
                </a:schemeClr>
              </a:solidFill>
              <a:ln w="19050">
                <a:noFill/>
              </a:ln>
              <a:effectLst>
                <a:glow>
                  <a:schemeClr val="accent1">
                    <a:alpha val="23000"/>
                  </a:schemeClr>
                </a:glow>
                <a:softEdge rad="0"/>
              </a:effectLst>
            </c:spPr>
            <c:extLst>
              <c:ext xmlns:c16="http://schemas.microsoft.com/office/drawing/2014/chart" uri="{C3380CC4-5D6E-409C-BE32-E72D297353CC}">
                <c16:uniqueId val="{00000009-3840-4DC3-BBE7-5E4E5181FA8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ahnschrift SemiBold" panose="020B0502040204020203"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HR_Analysis!$A$15:$A$20</c:f>
              <c:strCache>
                <c:ptCount val="5"/>
                <c:pt idx="0">
                  <c:v>Finance</c:v>
                </c:pt>
                <c:pt idx="1">
                  <c:v>HR</c:v>
                </c:pt>
                <c:pt idx="2">
                  <c:v>IT</c:v>
                </c:pt>
                <c:pt idx="3">
                  <c:v>Operations</c:v>
                </c:pt>
                <c:pt idx="4">
                  <c:v>Sales</c:v>
                </c:pt>
              </c:strCache>
            </c:strRef>
          </c:cat>
          <c:val>
            <c:numRef>
              <c:f>HR_Analysis!$B$15:$B$20</c:f>
              <c:numCache>
                <c:formatCode>0</c:formatCode>
                <c:ptCount val="5"/>
                <c:pt idx="0">
                  <c:v>71</c:v>
                </c:pt>
                <c:pt idx="1">
                  <c:v>73</c:v>
                </c:pt>
                <c:pt idx="2">
                  <c:v>53</c:v>
                </c:pt>
                <c:pt idx="3">
                  <c:v>61</c:v>
                </c:pt>
                <c:pt idx="4">
                  <c:v>42</c:v>
                </c:pt>
              </c:numCache>
            </c:numRef>
          </c:val>
          <c:extLst>
            <c:ext xmlns:c16="http://schemas.microsoft.com/office/drawing/2014/chart" uri="{C3380CC4-5D6E-409C-BE32-E72D297353CC}">
              <c16:uniqueId val="{0000000A-3840-4DC3-BBE7-5E4E5181FA89}"/>
            </c:ext>
          </c:extLst>
        </c:ser>
        <c:dLbls>
          <c:showLegendKey val="0"/>
          <c:showVal val="0"/>
          <c:showCatName val="0"/>
          <c:showSerName val="0"/>
          <c:showPercent val="1"/>
          <c:showBubbleSize val="0"/>
          <c:showLeaderLines val="1"/>
        </c:dLbls>
        <c:firstSliceAng val="0"/>
        <c:holeSize val="49"/>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Bahnschrift SemiBold"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[HR_Analytics_Full_Dataset.xlsx]HR_Analysis!AbyAGE</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HR_Analysis!$E$5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HR_Analysis!$D$6:$D$9</c:f>
              <c:strCache>
                <c:ptCount val="3"/>
                <c:pt idx="0">
                  <c:v>30-40</c:v>
                </c:pt>
                <c:pt idx="1">
                  <c:v>Above 40</c:v>
                </c:pt>
                <c:pt idx="2">
                  <c:v>Under 30</c:v>
                </c:pt>
              </c:strCache>
            </c:strRef>
          </c:cat>
          <c:val>
            <c:numRef>
              <c:f>HR_Analysis!$E$6:$E$9</c:f>
              <c:numCache>
                <c:formatCode>0</c:formatCode>
                <c:ptCount val="3"/>
                <c:pt idx="0">
                  <c:v>96</c:v>
                </c:pt>
                <c:pt idx="1">
                  <c:v>138</c:v>
                </c:pt>
                <c:pt idx="2">
                  <c:v>66</c:v>
                </c:pt>
              </c:numCache>
            </c:numRef>
          </c:val>
          <c:extLst>
            <c:ext xmlns:c16="http://schemas.microsoft.com/office/drawing/2014/chart" uri="{C3380CC4-5D6E-409C-BE32-E72D297353CC}">
              <c16:uniqueId val="{00000000-465C-4F1E-B073-D06628A490F5}"/>
            </c:ext>
          </c:extLst>
        </c:ser>
        <c:dLbls>
          <c:showLegendKey val="0"/>
          <c:showVal val="0"/>
          <c:showCatName val="0"/>
          <c:showSerName val="0"/>
          <c:showPercent val="0"/>
          <c:showBubbleSize val="0"/>
        </c:dLbls>
        <c:gapWidth val="150"/>
        <c:overlap val="100"/>
        <c:axId val="2056347071"/>
        <c:axId val="2056347551"/>
      </c:barChart>
      <c:catAx>
        <c:axId val="205634707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85000"/>
                    <a:lumOff val="15000"/>
                  </a:schemeClr>
                </a:solidFill>
                <a:latin typeface="+mn-lt"/>
                <a:ea typeface="+mn-ea"/>
                <a:cs typeface="+mn-cs"/>
              </a:defRPr>
            </a:pPr>
            <a:endParaRPr lang="en-US"/>
          </a:p>
        </c:txPr>
        <c:crossAx val="2056347551"/>
        <c:crosses val="autoZero"/>
        <c:auto val="1"/>
        <c:lblAlgn val="ctr"/>
        <c:lblOffset val="100"/>
        <c:noMultiLvlLbl val="0"/>
      </c:catAx>
      <c:valAx>
        <c:axId val="2056347551"/>
        <c:scaling>
          <c:orientation val="minMax"/>
        </c:scaling>
        <c:delete val="0"/>
        <c:axPos val="l"/>
        <c:majorGridlines>
          <c:spPr>
            <a:ln w="9525" cap="flat" cmpd="sng" algn="ctr">
              <a:solidFill>
                <a:schemeClr val="tx1">
                  <a:lumMod val="50000"/>
                  <a:lumOff val="50000"/>
                  <a:alpha val="2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2056347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[HR_Analytics_Full_Dataset.xlsx]HR_Analysis!AVGbyDept</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panose="020B0502040204020203"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60000"/>
              <a:lumOff val="40000"/>
            </a:schemeClr>
          </a:solidFill>
          <a:ln w="19050">
            <a:solidFill>
              <a:schemeClr val="lt1"/>
            </a:solidFill>
          </a:ln>
          <a:effectLst/>
        </c:spPr>
      </c:pivotFmt>
      <c:pivotFmt>
        <c:idx val="9"/>
        <c:spPr>
          <a:solidFill>
            <a:schemeClr val="accent1">
              <a:lumMod val="75000"/>
            </a:schemeClr>
          </a:solidFill>
          <a:ln w="19050">
            <a:solidFill>
              <a:schemeClr val="lt1"/>
            </a:solidFill>
          </a:ln>
          <a:effectLst/>
        </c:spPr>
      </c:pivotFmt>
      <c:pivotFmt>
        <c:idx val="10"/>
        <c:spPr>
          <a:solidFill>
            <a:srgbClr val="0070C0"/>
          </a:solidFill>
          <a:ln w="19050">
            <a:solidFill>
              <a:schemeClr val="lt1"/>
            </a:solidFill>
          </a:ln>
          <a:effectLst/>
        </c:spPr>
      </c:pivotFmt>
      <c:pivotFmt>
        <c:idx val="11"/>
        <c:spPr>
          <a:solidFill>
            <a:schemeClr val="accent1">
              <a:lumMod val="75000"/>
            </a:schemeClr>
          </a:solidFill>
          <a:ln w="19050">
            <a:solidFill>
              <a:schemeClr val="lt1"/>
            </a:solidFill>
          </a:ln>
          <a:effectLst/>
        </c:spPr>
      </c:pivotFmt>
      <c:pivotFmt>
        <c:idx val="12"/>
        <c:spPr>
          <a:solidFill>
            <a:schemeClr val="tx2">
              <a:lumMod val="60000"/>
              <a:lumOff val="40000"/>
            </a:schemeClr>
          </a:solidFill>
          <a:ln w="19050">
            <a:solidFill>
              <a:schemeClr val="lt1"/>
            </a:solidFill>
          </a:ln>
          <a:effectLst/>
        </c:spPr>
      </c:pivotFmt>
    </c:pivotFmts>
    <c:plotArea>
      <c:layout>
        <c:manualLayout>
          <c:layoutTarget val="inner"/>
          <c:xMode val="edge"/>
          <c:yMode val="edge"/>
          <c:x val="0.20834371313341929"/>
          <c:y val="0.13075493525394632"/>
          <c:w val="0.58795833447648316"/>
          <c:h val="0.7997347961836524"/>
        </c:manualLayout>
      </c:layout>
      <c:pieChart>
        <c:varyColors val="1"/>
        <c:ser>
          <c:idx val="0"/>
          <c:order val="0"/>
          <c:tx>
            <c:strRef>
              <c:f>HR_Analysis!$E$14</c:f>
              <c:strCache>
                <c:ptCount val="1"/>
                <c:pt idx="0">
                  <c:v>Total</c:v>
                </c:pt>
              </c:strCache>
            </c:strRef>
          </c:tx>
          <c:spPr>
            <a:solidFill>
              <a:schemeClr val="accent1">
                <a:lumMod val="75000"/>
              </a:schemeClr>
            </a:solidFill>
          </c:spPr>
          <c:dPt>
            <c:idx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1-8438-4F6F-A2F6-6739A40966FF}"/>
              </c:ext>
            </c:extLst>
          </c:dPt>
          <c:dPt>
            <c:idx val="1"/>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8438-4F6F-A2F6-6739A40966FF}"/>
              </c:ext>
            </c:extLst>
          </c:dPt>
          <c:dPt>
            <c:idx val="2"/>
            <c:bubble3D val="0"/>
            <c:spPr>
              <a:solidFill>
                <a:srgbClr val="0070C0"/>
              </a:solidFill>
              <a:ln w="19050">
                <a:solidFill>
                  <a:schemeClr val="lt1"/>
                </a:solidFill>
              </a:ln>
              <a:effectLst/>
            </c:spPr>
            <c:extLst>
              <c:ext xmlns:c16="http://schemas.microsoft.com/office/drawing/2014/chart" uri="{C3380CC4-5D6E-409C-BE32-E72D297353CC}">
                <c16:uniqueId val="{00000005-8438-4F6F-A2F6-6739A40966FF}"/>
              </c:ext>
            </c:extLst>
          </c:dPt>
          <c:dPt>
            <c:idx val="3"/>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7-8438-4F6F-A2F6-6739A40966FF}"/>
              </c:ext>
            </c:extLst>
          </c:dPt>
          <c:dPt>
            <c:idx val="4"/>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09-8438-4F6F-A2F6-6739A40966FF}"/>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panose="020B0502040204020203" pitchFamily="34"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HR_Analysis!$D$15:$D$20</c:f>
              <c:strCache>
                <c:ptCount val="5"/>
                <c:pt idx="0">
                  <c:v>Finance</c:v>
                </c:pt>
                <c:pt idx="1">
                  <c:v>HR</c:v>
                </c:pt>
                <c:pt idx="2">
                  <c:v>IT</c:v>
                </c:pt>
                <c:pt idx="3">
                  <c:v>Operations</c:v>
                </c:pt>
                <c:pt idx="4">
                  <c:v>Sales</c:v>
                </c:pt>
              </c:strCache>
            </c:strRef>
          </c:cat>
          <c:val>
            <c:numRef>
              <c:f>HR_Analysis!$E$15:$E$20</c:f>
              <c:numCache>
                <c:formatCode>_ * #,##0_ ;_ * \-#,##0_ ;_ * "-"??_ ;_ @_ </c:formatCode>
                <c:ptCount val="5"/>
                <c:pt idx="0">
                  <c:v>59391.098591549293</c:v>
                </c:pt>
                <c:pt idx="1">
                  <c:v>56905.027397260274</c:v>
                </c:pt>
                <c:pt idx="2">
                  <c:v>60128.962264150941</c:v>
                </c:pt>
                <c:pt idx="3">
                  <c:v>61654.37704918033</c:v>
                </c:pt>
                <c:pt idx="4">
                  <c:v>61496.785714285717</c:v>
                </c:pt>
              </c:numCache>
            </c:numRef>
          </c:val>
          <c:extLst>
            <c:ext xmlns:c16="http://schemas.microsoft.com/office/drawing/2014/chart" uri="{C3380CC4-5D6E-409C-BE32-E72D297353CC}">
              <c16:uniqueId val="{0000000A-8438-4F6F-A2F6-6739A40966F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layout>
        <c:manualLayout>
          <c:xMode val="edge"/>
          <c:yMode val="edge"/>
          <c:x val="9.1811938141878602E-2"/>
          <c:y val="3.7914691943127965E-2"/>
          <c:w val="0.80243884148627775"/>
          <c:h val="9.284024331081838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Bahnschrift SemiBold"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[HR_Analytics_Full_Dataset.xlsx]HR_Analysis!RatingbyGen</c:name>
    <c:fmtId val="21"/>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025371828521432E-2"/>
          <c:y val="5.0925925925925923E-2"/>
          <c:w val="0.89019685039370078"/>
          <c:h val="0.8416746864975212"/>
        </c:manualLayout>
      </c:layout>
      <c:barChart>
        <c:barDir val="col"/>
        <c:grouping val="clustered"/>
        <c:varyColors val="0"/>
        <c:ser>
          <c:idx val="0"/>
          <c:order val="0"/>
          <c:tx>
            <c:strRef>
              <c:f>HR_Analysis!$H$5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HR_Analysis!$G$6:$G$8</c:f>
              <c:strCache>
                <c:ptCount val="2"/>
                <c:pt idx="0">
                  <c:v>Female</c:v>
                </c:pt>
                <c:pt idx="1">
                  <c:v>Male</c:v>
                </c:pt>
              </c:strCache>
            </c:strRef>
          </c:cat>
          <c:val>
            <c:numRef>
              <c:f>HR_Analysis!$H$6:$H$8</c:f>
              <c:numCache>
                <c:formatCode>0.00</c:formatCode>
                <c:ptCount val="2"/>
                <c:pt idx="0">
                  <c:v>3.1156462585034013</c:v>
                </c:pt>
                <c:pt idx="1">
                  <c:v>3.0196078431372548</c:v>
                </c:pt>
              </c:numCache>
            </c:numRef>
          </c:val>
          <c:extLst>
            <c:ext xmlns:c16="http://schemas.microsoft.com/office/drawing/2014/chart" uri="{C3380CC4-5D6E-409C-BE32-E72D297353CC}">
              <c16:uniqueId val="{0000000A-4985-4B73-86AA-3557C8296565}"/>
            </c:ext>
          </c:extLst>
        </c:ser>
        <c:dLbls>
          <c:showLegendKey val="0"/>
          <c:showVal val="0"/>
          <c:showCatName val="0"/>
          <c:showSerName val="0"/>
          <c:showPercent val="0"/>
          <c:showBubbleSize val="0"/>
        </c:dLbls>
        <c:gapWidth val="100"/>
        <c:overlap val="-24"/>
        <c:axId val="71192847"/>
        <c:axId val="71204367"/>
      </c:barChart>
      <c:catAx>
        <c:axId val="7119284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71204367"/>
        <c:crosses val="autoZero"/>
        <c:auto val="1"/>
        <c:lblAlgn val="ctr"/>
        <c:lblOffset val="100"/>
        <c:noMultiLvlLbl val="0"/>
      </c:catAx>
      <c:valAx>
        <c:axId val="71204367"/>
        <c:scaling>
          <c:orientation val="minMax"/>
        </c:scaling>
        <c:delete val="0"/>
        <c:axPos val="l"/>
        <c:majorGridlines>
          <c:spPr>
            <a:ln w="9525" cap="flat" cmpd="sng" algn="ctr">
              <a:solidFill>
                <a:schemeClr val="tx1">
                  <a:lumMod val="50000"/>
                  <a:lumOff val="50000"/>
                  <a:alpha val="2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1192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[HR_Analytics_Full_Dataset.xlsx]HR_Analysis!HiringJOINED</c:name>
    <c:fmtId val="29"/>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HR_Analysis!$E$23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HR_Analysis!$D$24:$D$33</c:f>
              <c:strCache>
                <c:ptCount val="9"/>
                <c:pt idx="0">
                  <c:v>2016</c:v>
                </c:pt>
                <c:pt idx="1">
                  <c:v>2017</c:v>
                </c:pt>
                <c:pt idx="2">
                  <c:v>2018</c:v>
                </c:pt>
                <c:pt idx="3">
                  <c:v>2019</c:v>
                </c:pt>
                <c:pt idx="4">
                  <c:v>2020</c:v>
                </c:pt>
                <c:pt idx="5">
                  <c:v>2021</c:v>
                </c:pt>
                <c:pt idx="6">
                  <c:v>2022</c:v>
                </c:pt>
                <c:pt idx="7">
                  <c:v>2023</c:v>
                </c:pt>
                <c:pt idx="8">
                  <c:v>2024</c:v>
                </c:pt>
              </c:strCache>
            </c:strRef>
          </c:cat>
          <c:val>
            <c:numRef>
              <c:f>HR_Analysis!$E$24:$E$33</c:f>
              <c:numCache>
                <c:formatCode>0</c:formatCode>
                <c:ptCount val="9"/>
                <c:pt idx="0">
                  <c:v>40</c:v>
                </c:pt>
                <c:pt idx="1">
                  <c:v>34</c:v>
                </c:pt>
                <c:pt idx="2">
                  <c:v>32</c:v>
                </c:pt>
                <c:pt idx="3">
                  <c:v>32</c:v>
                </c:pt>
                <c:pt idx="4">
                  <c:v>40</c:v>
                </c:pt>
                <c:pt idx="5">
                  <c:v>32</c:v>
                </c:pt>
                <c:pt idx="6">
                  <c:v>46</c:v>
                </c:pt>
                <c:pt idx="7">
                  <c:v>39</c:v>
                </c:pt>
                <c:pt idx="8">
                  <c:v>5</c:v>
                </c:pt>
              </c:numCache>
            </c:numRef>
          </c:val>
          <c:smooth val="0"/>
          <c:extLst>
            <c:ext xmlns:c16="http://schemas.microsoft.com/office/drawing/2014/chart" uri="{C3380CC4-5D6E-409C-BE32-E72D297353CC}">
              <c16:uniqueId val="{00000000-4A8A-4586-915E-26F59FF7F033}"/>
            </c:ext>
          </c:extLst>
        </c:ser>
        <c:dLbls>
          <c:showLegendKey val="0"/>
          <c:showVal val="0"/>
          <c:showCatName val="0"/>
          <c:showSerName val="0"/>
          <c:showPercent val="0"/>
          <c:showBubbleSize val="0"/>
        </c:dLbls>
        <c:marker val="1"/>
        <c:smooth val="0"/>
        <c:axId val="363099215"/>
        <c:axId val="363106895"/>
      </c:lineChart>
      <c:catAx>
        <c:axId val="363099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106895"/>
        <c:crosses val="autoZero"/>
        <c:auto val="1"/>
        <c:lblAlgn val="ctr"/>
        <c:lblOffset val="100"/>
        <c:noMultiLvlLbl val="0"/>
      </c:catAx>
      <c:valAx>
        <c:axId val="363106895"/>
        <c:scaling>
          <c:orientation val="minMax"/>
        </c:scaling>
        <c:delete val="0"/>
        <c:axPos val="l"/>
        <c:majorGridlines>
          <c:spPr>
            <a:ln w="9525" cap="flat" cmpd="sng" algn="ctr">
              <a:solidFill>
                <a:schemeClr val="tx1">
                  <a:lumMod val="50000"/>
                  <a:lumOff val="50000"/>
                  <a:alpha val="2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09921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[HR_Analytics_Full_Dataset.xlsx]HR_Analysis!HiringLEFT</c:name>
    <c:fmtId val="34"/>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HR_Analysis!$B$23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HR_Analysis!$A$24:$A$33</c:f>
              <c:strCache>
                <c:ptCount val="9"/>
                <c:pt idx="0">
                  <c:v>2016</c:v>
                </c:pt>
                <c:pt idx="1">
                  <c:v>2017</c:v>
                </c:pt>
                <c:pt idx="2">
                  <c:v>2018</c:v>
                </c:pt>
                <c:pt idx="3">
                  <c:v>2019</c:v>
                </c:pt>
                <c:pt idx="4">
                  <c:v>2020</c:v>
                </c:pt>
                <c:pt idx="5">
                  <c:v>2021</c:v>
                </c:pt>
                <c:pt idx="6">
                  <c:v>2022</c:v>
                </c:pt>
                <c:pt idx="7">
                  <c:v>2023</c:v>
                </c:pt>
                <c:pt idx="8">
                  <c:v>2024</c:v>
                </c:pt>
              </c:strCache>
            </c:strRef>
          </c:cat>
          <c:val>
            <c:numRef>
              <c:f>HR_Analysis!$B$24:$B$33</c:f>
              <c:numCache>
                <c:formatCode>0</c:formatCode>
                <c:ptCount val="9"/>
                <c:pt idx="0">
                  <c:v>12</c:v>
                </c:pt>
                <c:pt idx="1">
                  <c:v>9</c:v>
                </c:pt>
                <c:pt idx="2">
                  <c:v>9</c:v>
                </c:pt>
                <c:pt idx="3">
                  <c:v>7</c:v>
                </c:pt>
                <c:pt idx="4">
                  <c:v>9</c:v>
                </c:pt>
                <c:pt idx="5">
                  <c:v>8</c:v>
                </c:pt>
                <c:pt idx="6">
                  <c:v>4</c:v>
                </c:pt>
                <c:pt idx="7">
                  <c:v>1</c:v>
                </c:pt>
              </c:numCache>
            </c:numRef>
          </c:val>
          <c:smooth val="0"/>
          <c:extLst>
            <c:ext xmlns:c16="http://schemas.microsoft.com/office/drawing/2014/chart" uri="{C3380CC4-5D6E-409C-BE32-E72D297353CC}">
              <c16:uniqueId val="{00000000-D7F0-4F13-8196-91BCB76CFFC1}"/>
            </c:ext>
          </c:extLst>
        </c:ser>
        <c:dLbls>
          <c:showLegendKey val="0"/>
          <c:showVal val="0"/>
          <c:showCatName val="0"/>
          <c:showSerName val="0"/>
          <c:showPercent val="0"/>
          <c:showBubbleSize val="0"/>
        </c:dLbls>
        <c:marker val="1"/>
        <c:smooth val="0"/>
        <c:axId val="481434735"/>
        <c:axId val="481429935"/>
      </c:lineChart>
      <c:catAx>
        <c:axId val="481434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429935"/>
        <c:crosses val="autoZero"/>
        <c:auto val="1"/>
        <c:lblAlgn val="ctr"/>
        <c:lblOffset val="100"/>
        <c:noMultiLvlLbl val="0"/>
      </c:catAx>
      <c:valAx>
        <c:axId val="481429935"/>
        <c:scaling>
          <c:orientation val="minMax"/>
        </c:scaling>
        <c:delete val="0"/>
        <c:axPos val="l"/>
        <c:majorGridlines>
          <c:spPr>
            <a:ln w="9525" cap="flat" cmpd="sng" algn="ctr">
              <a:solidFill>
                <a:schemeClr val="tx1">
                  <a:lumMod val="50000"/>
                  <a:lumOff val="50000"/>
                  <a:alpha val="27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43473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[HR_Analytics_Full_Dataset.xlsx]HR_Analysis!AttrbyPerRating</c:name>
    <c:fmtId val="3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45032954946836"/>
          <c:y val="3.0362940628274122E-2"/>
          <c:w val="0.82060439024259568"/>
          <c:h val="0.67526514095657431"/>
        </c:manualLayout>
      </c:layout>
      <c:barChart>
        <c:barDir val="col"/>
        <c:grouping val="clustered"/>
        <c:varyColors val="0"/>
        <c:ser>
          <c:idx val="0"/>
          <c:order val="0"/>
          <c:tx>
            <c:strRef>
              <c:f>HR_Analysis!$H$14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HR_Analysis!$G$15:$G$20</c:f>
              <c:strCache>
                <c:ptCount val="5"/>
                <c:pt idx="0">
                  <c:v>Finance</c:v>
                </c:pt>
                <c:pt idx="1">
                  <c:v>HR</c:v>
                </c:pt>
                <c:pt idx="2">
                  <c:v>IT</c:v>
                </c:pt>
                <c:pt idx="3">
                  <c:v>Operations</c:v>
                </c:pt>
                <c:pt idx="4">
                  <c:v>Sales</c:v>
                </c:pt>
              </c:strCache>
            </c:strRef>
          </c:cat>
          <c:val>
            <c:numRef>
              <c:f>HR_Analysis!$H$15:$H$20</c:f>
              <c:numCache>
                <c:formatCode>0.00</c:formatCode>
                <c:ptCount val="5"/>
                <c:pt idx="0">
                  <c:v>2.9295774647887325</c:v>
                </c:pt>
                <c:pt idx="1">
                  <c:v>3.1232876712328768</c:v>
                </c:pt>
                <c:pt idx="2">
                  <c:v>2.8867924528301887</c:v>
                </c:pt>
                <c:pt idx="3">
                  <c:v>3.0491803278688523</c:v>
                </c:pt>
                <c:pt idx="4">
                  <c:v>3.4523809523809526</c:v>
                </c:pt>
              </c:numCache>
            </c:numRef>
          </c:val>
          <c:extLst>
            <c:ext xmlns:c16="http://schemas.microsoft.com/office/drawing/2014/chart" uri="{C3380CC4-5D6E-409C-BE32-E72D297353CC}">
              <c16:uniqueId val="{00000000-4064-466D-A097-A1F488A5330F}"/>
            </c:ext>
          </c:extLst>
        </c:ser>
        <c:dLbls>
          <c:showLegendKey val="0"/>
          <c:showVal val="0"/>
          <c:showCatName val="0"/>
          <c:showSerName val="0"/>
          <c:showPercent val="0"/>
          <c:showBubbleSize val="0"/>
        </c:dLbls>
        <c:gapWidth val="100"/>
        <c:overlap val="-24"/>
        <c:axId val="496082751"/>
        <c:axId val="496083231"/>
      </c:barChart>
      <c:catAx>
        <c:axId val="49608275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crossAx val="496083231"/>
        <c:crosses val="autoZero"/>
        <c:auto val="1"/>
        <c:lblAlgn val="ctr"/>
        <c:lblOffset val="100"/>
        <c:noMultiLvlLbl val="0"/>
      </c:catAx>
      <c:valAx>
        <c:axId val="496083231"/>
        <c:scaling>
          <c:orientation val="minMax"/>
        </c:scaling>
        <c:delete val="0"/>
        <c:axPos val="l"/>
        <c:majorGridlines>
          <c:spPr>
            <a:ln w="9525" cap="flat" cmpd="sng" algn="ctr">
              <a:solidFill>
                <a:schemeClr val="tx1">
                  <a:lumMod val="50000"/>
                  <a:lumOff val="50000"/>
                  <a:alpha val="2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496082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[HR_Analytics_Full_Dataset.xlsx]HR_Analysis!AbyDept</c:name>
    <c:fmtId val="14"/>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968512393476033"/>
          <c:y val="7.2408969175133814E-2"/>
          <c:w val="0.71647391361084167"/>
          <c:h val="0.77488533518821923"/>
        </c:manualLayout>
      </c:layout>
      <c:barChart>
        <c:barDir val="bar"/>
        <c:grouping val="stacked"/>
        <c:varyColors val="0"/>
        <c:ser>
          <c:idx val="0"/>
          <c:order val="0"/>
          <c:tx>
            <c:strRef>
              <c:f>HR_Analysis!$B$5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HR_Analysis!$A$6:$A$11</c:f>
              <c:strCache>
                <c:ptCount val="5"/>
                <c:pt idx="0">
                  <c:v>Finance</c:v>
                </c:pt>
                <c:pt idx="1">
                  <c:v>HR</c:v>
                </c:pt>
                <c:pt idx="2">
                  <c:v>IT</c:v>
                </c:pt>
                <c:pt idx="3">
                  <c:v>Operations</c:v>
                </c:pt>
                <c:pt idx="4">
                  <c:v>Sales</c:v>
                </c:pt>
              </c:strCache>
            </c:strRef>
          </c:cat>
          <c:val>
            <c:numRef>
              <c:f>HR_Analysis!$B$6:$B$11</c:f>
              <c:numCache>
                <c:formatCode>0</c:formatCode>
                <c:ptCount val="5"/>
                <c:pt idx="0">
                  <c:v>71</c:v>
                </c:pt>
                <c:pt idx="1">
                  <c:v>73</c:v>
                </c:pt>
                <c:pt idx="2">
                  <c:v>53</c:v>
                </c:pt>
                <c:pt idx="3">
                  <c:v>61</c:v>
                </c:pt>
                <c:pt idx="4">
                  <c:v>42</c:v>
                </c:pt>
              </c:numCache>
            </c:numRef>
          </c:val>
          <c:extLst>
            <c:ext xmlns:c16="http://schemas.microsoft.com/office/drawing/2014/chart" uri="{C3380CC4-5D6E-409C-BE32-E72D297353CC}">
              <c16:uniqueId val="{00000000-F43D-498B-81BE-7723143F7EAC}"/>
            </c:ext>
          </c:extLst>
        </c:ser>
        <c:dLbls>
          <c:showLegendKey val="0"/>
          <c:showVal val="0"/>
          <c:showCatName val="0"/>
          <c:showSerName val="0"/>
          <c:showPercent val="0"/>
          <c:showBubbleSize val="0"/>
        </c:dLbls>
        <c:gapWidth val="150"/>
        <c:overlap val="100"/>
        <c:axId val="592988911"/>
        <c:axId val="592977391"/>
      </c:barChart>
      <c:catAx>
        <c:axId val="592988911"/>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ahnschrift SemiBold" panose="020B0502040204020203" pitchFamily="34" charset="0"/>
                <a:ea typeface="+mn-ea"/>
                <a:cs typeface="+mn-cs"/>
              </a:defRPr>
            </a:pPr>
            <a:endParaRPr lang="en-US"/>
          </a:p>
        </c:txPr>
        <c:crossAx val="592977391"/>
        <c:crosses val="autoZero"/>
        <c:auto val="1"/>
        <c:lblAlgn val="ctr"/>
        <c:lblOffset val="100"/>
        <c:noMultiLvlLbl val="0"/>
      </c:catAx>
      <c:valAx>
        <c:axId val="592977391"/>
        <c:scaling>
          <c:orientation val="minMax"/>
        </c:scaling>
        <c:delete val="0"/>
        <c:axPos val="b"/>
        <c:majorGridlines>
          <c:spPr>
            <a:ln w="9525" cap="flat" cmpd="sng" algn="ctr">
              <a:solidFill>
                <a:schemeClr val="tx1">
                  <a:lumMod val="65000"/>
                  <a:lumOff val="35000"/>
                  <a:alpha val="26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ahnschrift SemiBold" panose="020B0502040204020203" pitchFamily="34" charset="0"/>
                <a:ea typeface="+mn-ea"/>
                <a:cs typeface="+mn-cs"/>
              </a:defRPr>
            </a:pPr>
            <a:endParaRPr lang="en-US"/>
          </a:p>
        </c:txPr>
        <c:crossAx val="592988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chart" Target="../charts/chart8.xml"/><Relationship Id="rId3" Type="http://schemas.openxmlformats.org/officeDocument/2006/relationships/image" Target="../media/image3.jpeg"/><Relationship Id="rId7" Type="http://schemas.openxmlformats.org/officeDocument/2006/relationships/chart" Target="../charts/chart2.xml"/><Relationship Id="rId12" Type="http://schemas.openxmlformats.org/officeDocument/2006/relationships/chart" Target="../charts/chart7.xml"/><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chart" Target="../charts/chart1.xml"/><Relationship Id="rId11" Type="http://schemas.openxmlformats.org/officeDocument/2006/relationships/chart" Target="../charts/chart6.xml"/><Relationship Id="rId5" Type="http://schemas.openxmlformats.org/officeDocument/2006/relationships/image" Target="../media/image5.jpeg"/><Relationship Id="rId10" Type="http://schemas.openxmlformats.org/officeDocument/2006/relationships/chart" Target="../charts/chart5.xml"/><Relationship Id="rId4" Type="http://schemas.openxmlformats.org/officeDocument/2006/relationships/image" Target="../media/image4.jpeg"/><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177465</xdr:colOff>
      <xdr:row>2</xdr:row>
      <xdr:rowOff>78213</xdr:rowOff>
    </xdr:from>
    <xdr:to>
      <xdr:col>5</xdr:col>
      <xdr:colOff>441832</xdr:colOff>
      <xdr:row>5</xdr:row>
      <xdr:rowOff>117090</xdr:rowOff>
    </xdr:to>
    <xdr:sp macro="" textlink="">
      <xdr:nvSpPr>
        <xdr:cNvPr id="2" name="Rectangle: Rounded Corners 1">
          <a:extLst>
            <a:ext uri="{FF2B5EF4-FFF2-40B4-BE49-F238E27FC236}">
              <a16:creationId xmlns:a16="http://schemas.microsoft.com/office/drawing/2014/main" id="{EE06CF1B-9CB2-462E-190E-28A1365CFB59}"/>
            </a:ext>
          </a:extLst>
        </xdr:cNvPr>
        <xdr:cNvSpPr/>
      </xdr:nvSpPr>
      <xdr:spPr>
        <a:xfrm>
          <a:off x="2002423" y="449608"/>
          <a:ext cx="1481006" cy="595969"/>
        </a:xfrm>
        <a:prstGeom prst="roundRect">
          <a:avLst>
            <a:gd name="adj" fmla="val 10215"/>
          </a:avLst>
        </a:prstGeom>
        <a:solidFill>
          <a:schemeClr val="bg1"/>
        </a:solidFill>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538026</xdr:colOff>
      <xdr:row>2</xdr:row>
      <xdr:rowOff>79372</xdr:rowOff>
    </xdr:from>
    <xdr:to>
      <xdr:col>8</xdr:col>
      <xdr:colOff>191238</xdr:colOff>
      <xdr:row>5</xdr:row>
      <xdr:rowOff>118249</xdr:rowOff>
    </xdr:to>
    <xdr:sp macro="" textlink="">
      <xdr:nvSpPr>
        <xdr:cNvPr id="3" name="Rectangle: Rounded Corners 2">
          <a:extLst>
            <a:ext uri="{FF2B5EF4-FFF2-40B4-BE49-F238E27FC236}">
              <a16:creationId xmlns:a16="http://schemas.microsoft.com/office/drawing/2014/main" id="{22341D11-F009-4114-9A8E-AFE01DA3C183}"/>
            </a:ext>
          </a:extLst>
        </xdr:cNvPr>
        <xdr:cNvSpPr/>
      </xdr:nvSpPr>
      <xdr:spPr>
        <a:xfrm>
          <a:off x="3576065" y="447921"/>
          <a:ext cx="1476036" cy="591701"/>
        </a:xfrm>
        <a:prstGeom prst="roundRect">
          <a:avLst>
            <a:gd name="adj" fmla="val 10215"/>
          </a:avLst>
        </a:prstGeom>
        <a:solidFill>
          <a:schemeClr val="bg1"/>
        </a:solidFill>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292909</xdr:colOff>
      <xdr:row>2</xdr:row>
      <xdr:rowOff>71892</xdr:rowOff>
    </xdr:from>
    <xdr:to>
      <xdr:col>10</xdr:col>
      <xdr:colOff>431312</xdr:colOff>
      <xdr:row>5</xdr:row>
      <xdr:rowOff>110769</xdr:rowOff>
    </xdr:to>
    <xdr:sp macro="" textlink="">
      <xdr:nvSpPr>
        <xdr:cNvPr id="5" name="Rectangle: Rounded Corners 4">
          <a:extLst>
            <a:ext uri="{FF2B5EF4-FFF2-40B4-BE49-F238E27FC236}">
              <a16:creationId xmlns:a16="http://schemas.microsoft.com/office/drawing/2014/main" id="{F0E034C1-9424-EAB4-AFA5-0D222CED1229}"/>
            </a:ext>
          </a:extLst>
        </xdr:cNvPr>
        <xdr:cNvSpPr/>
      </xdr:nvSpPr>
      <xdr:spPr>
        <a:xfrm>
          <a:off x="5153772" y="440441"/>
          <a:ext cx="1353618" cy="591701"/>
        </a:xfrm>
        <a:prstGeom prst="roundRect">
          <a:avLst>
            <a:gd name="adj" fmla="val 10215"/>
          </a:avLst>
        </a:prstGeom>
        <a:solidFill>
          <a:schemeClr val="bg1"/>
        </a:solidFill>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239059</xdr:colOff>
      <xdr:row>2</xdr:row>
      <xdr:rowOff>79039</xdr:rowOff>
    </xdr:from>
    <xdr:to>
      <xdr:col>15</xdr:col>
      <xdr:colOff>442535</xdr:colOff>
      <xdr:row>5</xdr:row>
      <xdr:rowOff>117916</xdr:rowOff>
    </xdr:to>
    <xdr:sp macro="" textlink="">
      <xdr:nvSpPr>
        <xdr:cNvPr id="10" name="Rectangle: Rounded Corners 9">
          <a:extLst>
            <a:ext uri="{FF2B5EF4-FFF2-40B4-BE49-F238E27FC236}">
              <a16:creationId xmlns:a16="http://schemas.microsoft.com/office/drawing/2014/main" id="{E35AC143-0463-4C45-8F4C-5634170A94CC}"/>
            </a:ext>
          </a:extLst>
        </xdr:cNvPr>
        <xdr:cNvSpPr/>
      </xdr:nvSpPr>
      <xdr:spPr>
        <a:xfrm>
          <a:off x="8137961" y="447588"/>
          <a:ext cx="1418692" cy="591701"/>
        </a:xfrm>
        <a:prstGeom prst="roundRect">
          <a:avLst>
            <a:gd name="adj" fmla="val 10215"/>
          </a:avLst>
        </a:prstGeom>
        <a:solidFill>
          <a:schemeClr val="bg1"/>
        </a:solidFill>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5845</xdr:colOff>
      <xdr:row>2</xdr:row>
      <xdr:rowOff>83093</xdr:rowOff>
    </xdr:from>
    <xdr:to>
      <xdr:col>18</xdr:col>
      <xdr:colOff>293842</xdr:colOff>
      <xdr:row>5</xdr:row>
      <xdr:rowOff>121970</xdr:rowOff>
    </xdr:to>
    <xdr:sp macro="" textlink="">
      <xdr:nvSpPr>
        <xdr:cNvPr id="11" name="Rectangle: Rounded Corners 10">
          <a:extLst>
            <a:ext uri="{FF2B5EF4-FFF2-40B4-BE49-F238E27FC236}">
              <a16:creationId xmlns:a16="http://schemas.microsoft.com/office/drawing/2014/main" id="{DCCFC8C2-D68F-4CAA-938F-899FDF3FA6CB}"/>
            </a:ext>
          </a:extLst>
        </xdr:cNvPr>
        <xdr:cNvSpPr/>
      </xdr:nvSpPr>
      <xdr:spPr>
        <a:xfrm>
          <a:off x="9727570" y="451642"/>
          <a:ext cx="1503213" cy="591701"/>
        </a:xfrm>
        <a:prstGeom prst="roundRect">
          <a:avLst>
            <a:gd name="adj" fmla="val 10215"/>
          </a:avLst>
        </a:prstGeom>
        <a:solidFill>
          <a:schemeClr val="bg1"/>
        </a:solidFill>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228419</xdr:colOff>
      <xdr:row>2</xdr:row>
      <xdr:rowOff>75094</xdr:rowOff>
    </xdr:from>
    <xdr:to>
      <xdr:col>5</xdr:col>
      <xdr:colOff>589625</xdr:colOff>
      <xdr:row>5</xdr:row>
      <xdr:rowOff>143075</xdr:rowOff>
    </xdr:to>
    <xdr:grpSp>
      <xdr:nvGrpSpPr>
        <xdr:cNvPr id="21" name="Group 20">
          <a:extLst>
            <a:ext uri="{FF2B5EF4-FFF2-40B4-BE49-F238E27FC236}">
              <a16:creationId xmlns:a16="http://schemas.microsoft.com/office/drawing/2014/main" id="{59046FD4-A6FC-6B6C-3FC9-EDEBF73DDA23}"/>
            </a:ext>
          </a:extLst>
        </xdr:cNvPr>
        <xdr:cNvGrpSpPr/>
      </xdr:nvGrpSpPr>
      <xdr:grpSpPr>
        <a:xfrm>
          <a:off x="2051776" y="437951"/>
          <a:ext cx="1576778" cy="612267"/>
          <a:chOff x="2066308" y="413753"/>
          <a:chExt cx="1580406" cy="614391"/>
        </a:xfrm>
      </xdr:grpSpPr>
      <xdr:pic>
        <xdr:nvPicPr>
          <xdr:cNvPr id="18" name="Picture 17">
            <a:extLst>
              <a:ext uri="{FF2B5EF4-FFF2-40B4-BE49-F238E27FC236}">
                <a16:creationId xmlns:a16="http://schemas.microsoft.com/office/drawing/2014/main" id="{D5E7D578-431C-5009-32EF-F249499A01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66308" y="468181"/>
            <a:ext cx="351310" cy="374953"/>
          </a:xfrm>
          <a:prstGeom prst="rect">
            <a:avLst/>
          </a:prstGeom>
        </xdr:spPr>
      </xdr:pic>
      <xdr:sp macro="" textlink="">
        <xdr:nvSpPr>
          <xdr:cNvPr id="19" name="TextBox 18">
            <a:extLst>
              <a:ext uri="{FF2B5EF4-FFF2-40B4-BE49-F238E27FC236}">
                <a16:creationId xmlns:a16="http://schemas.microsoft.com/office/drawing/2014/main" id="{F6353D4B-9C65-9660-7C6B-8C4B681FC434}"/>
              </a:ext>
            </a:extLst>
          </xdr:cNvPr>
          <xdr:cNvSpPr txBox="1"/>
        </xdr:nvSpPr>
        <xdr:spPr>
          <a:xfrm>
            <a:off x="2407723" y="413753"/>
            <a:ext cx="1238991" cy="226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t>Total Employee</a:t>
            </a:r>
          </a:p>
          <a:p>
            <a:endParaRPr lang="en-IN" sz="1100"/>
          </a:p>
        </xdr:txBody>
      </xdr:sp>
      <xdr:sp macro="" textlink="HR_Analysis!A2">
        <xdr:nvSpPr>
          <xdr:cNvPr id="20" name="TextBox 19">
            <a:extLst>
              <a:ext uri="{FF2B5EF4-FFF2-40B4-BE49-F238E27FC236}">
                <a16:creationId xmlns:a16="http://schemas.microsoft.com/office/drawing/2014/main" id="{181FE3CE-374D-2410-F577-30EA70E04304}"/>
              </a:ext>
            </a:extLst>
          </xdr:cNvPr>
          <xdr:cNvSpPr txBox="1"/>
        </xdr:nvSpPr>
        <xdr:spPr>
          <a:xfrm>
            <a:off x="2716591" y="618604"/>
            <a:ext cx="903838" cy="409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33ECD00-DF7B-47CF-9722-70361570D78A}" type="TxLink">
              <a:rPr lang="en-US" sz="1200" b="1" i="0" u="none" strike="noStrike">
                <a:solidFill>
                  <a:srgbClr val="000000"/>
                </a:solidFill>
                <a:latin typeface="Calibri"/>
                <a:ea typeface="Calibri"/>
                <a:cs typeface="Calibri"/>
              </a:rPr>
              <a:pPr/>
              <a:t>300</a:t>
            </a:fld>
            <a:endParaRPr lang="en-IN" sz="1200" b="1"/>
          </a:p>
        </xdr:txBody>
      </xdr:sp>
    </xdr:grpSp>
    <xdr:clientData/>
  </xdr:twoCellAnchor>
  <xdr:twoCellAnchor>
    <xdr:from>
      <xdr:col>5</xdr:col>
      <xdr:colOff>595707</xdr:colOff>
      <xdr:row>2</xdr:row>
      <xdr:rowOff>147541</xdr:rowOff>
    </xdr:from>
    <xdr:to>
      <xdr:col>6</xdr:col>
      <xdr:colOff>339409</xdr:colOff>
      <xdr:row>4</xdr:row>
      <xdr:rowOff>158221</xdr:rowOff>
    </xdr:to>
    <xdr:pic>
      <xdr:nvPicPr>
        <xdr:cNvPr id="23" name="Picture 22">
          <a:extLst>
            <a:ext uri="{FF2B5EF4-FFF2-40B4-BE49-F238E27FC236}">
              <a16:creationId xmlns:a16="http://schemas.microsoft.com/office/drawing/2014/main" id="{14DB48AE-AF09-A2FB-10D3-A82E3318B4F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633746" y="516090"/>
          <a:ext cx="351310" cy="379229"/>
        </a:xfrm>
        <a:prstGeom prst="rect">
          <a:avLst/>
        </a:prstGeom>
      </xdr:spPr>
    </xdr:pic>
    <xdr:clientData/>
  </xdr:twoCellAnchor>
  <xdr:twoCellAnchor>
    <xdr:from>
      <xdr:col>6</xdr:col>
      <xdr:colOff>274949</xdr:colOff>
      <xdr:row>2</xdr:row>
      <xdr:rowOff>95566</xdr:rowOff>
    </xdr:from>
    <xdr:to>
      <xdr:col>8</xdr:col>
      <xdr:colOff>294740</xdr:colOff>
      <xdr:row>3</xdr:row>
      <xdr:rowOff>140099</xdr:rowOff>
    </xdr:to>
    <xdr:sp macro="" textlink="">
      <xdr:nvSpPr>
        <xdr:cNvPr id="24" name="TextBox 23">
          <a:extLst>
            <a:ext uri="{FF2B5EF4-FFF2-40B4-BE49-F238E27FC236}">
              <a16:creationId xmlns:a16="http://schemas.microsoft.com/office/drawing/2014/main" id="{DBCDB000-F9ED-C96F-CFCC-824D449FD5B6}"/>
            </a:ext>
          </a:extLst>
        </xdr:cNvPr>
        <xdr:cNvSpPr txBox="1"/>
      </xdr:nvSpPr>
      <xdr:spPr>
        <a:xfrm>
          <a:off x="3920596" y="464115"/>
          <a:ext cx="1235007" cy="2288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t>Active Employee</a:t>
          </a:r>
        </a:p>
        <a:p>
          <a:endParaRPr lang="en-IN" sz="1100"/>
        </a:p>
      </xdr:txBody>
    </xdr:sp>
    <xdr:clientData/>
  </xdr:twoCellAnchor>
  <xdr:twoCellAnchor>
    <xdr:from>
      <xdr:col>6</xdr:col>
      <xdr:colOff>571863</xdr:colOff>
      <xdr:row>3</xdr:row>
      <xdr:rowOff>109509</xdr:rowOff>
    </xdr:from>
    <xdr:to>
      <xdr:col>7</xdr:col>
      <xdr:colOff>561302</xdr:colOff>
      <xdr:row>5</xdr:row>
      <xdr:rowOff>41033</xdr:rowOff>
    </xdr:to>
    <xdr:sp macro="" textlink="HR_Analysis!B2">
      <xdr:nvSpPr>
        <xdr:cNvPr id="25" name="TextBox 24">
          <a:extLst>
            <a:ext uri="{FF2B5EF4-FFF2-40B4-BE49-F238E27FC236}">
              <a16:creationId xmlns:a16="http://schemas.microsoft.com/office/drawing/2014/main" id="{705E6646-F5E6-559B-AAD4-A4456BC59765}"/>
            </a:ext>
          </a:extLst>
        </xdr:cNvPr>
        <xdr:cNvSpPr txBox="1"/>
      </xdr:nvSpPr>
      <xdr:spPr>
        <a:xfrm>
          <a:off x="4217510" y="662333"/>
          <a:ext cx="597047" cy="300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F28700E-CF57-4218-86F9-0E962949ACF9}" type="TxLink">
            <a:rPr lang="en-US" sz="1200" b="1" i="0" u="none" strike="noStrike">
              <a:solidFill>
                <a:srgbClr val="000000"/>
              </a:solidFill>
              <a:latin typeface="Calibri"/>
              <a:ea typeface="Calibri"/>
              <a:cs typeface="Calibri"/>
            </a:rPr>
            <a:pPr/>
            <a:t>241</a:t>
          </a:fld>
          <a:endParaRPr lang="en-IN" sz="1400" b="1"/>
        </a:p>
      </xdr:txBody>
    </xdr:sp>
    <xdr:clientData/>
  </xdr:twoCellAnchor>
  <xdr:twoCellAnchor>
    <xdr:from>
      <xdr:col>8</xdr:col>
      <xdr:colOff>298076</xdr:colOff>
      <xdr:row>2</xdr:row>
      <xdr:rowOff>65406</xdr:rowOff>
    </xdr:from>
    <xdr:to>
      <xdr:col>11</xdr:col>
      <xdr:colOff>38008</xdr:colOff>
      <xdr:row>5</xdr:row>
      <xdr:rowOff>121778</xdr:rowOff>
    </xdr:to>
    <xdr:grpSp>
      <xdr:nvGrpSpPr>
        <xdr:cNvPr id="69" name="Group 68">
          <a:extLst>
            <a:ext uri="{FF2B5EF4-FFF2-40B4-BE49-F238E27FC236}">
              <a16:creationId xmlns:a16="http://schemas.microsoft.com/office/drawing/2014/main" id="{67B77EF5-EF85-9620-B148-397386AE75A6}"/>
            </a:ext>
          </a:extLst>
        </xdr:cNvPr>
        <xdr:cNvGrpSpPr/>
      </xdr:nvGrpSpPr>
      <xdr:grpSpPr>
        <a:xfrm>
          <a:off x="5160362" y="428263"/>
          <a:ext cx="1563289" cy="600658"/>
          <a:chOff x="5253566" y="384152"/>
          <a:chExt cx="1562755" cy="609196"/>
        </a:xfrm>
      </xdr:grpSpPr>
      <xdr:pic>
        <xdr:nvPicPr>
          <xdr:cNvPr id="27" name="Picture 26">
            <a:extLst>
              <a:ext uri="{FF2B5EF4-FFF2-40B4-BE49-F238E27FC236}">
                <a16:creationId xmlns:a16="http://schemas.microsoft.com/office/drawing/2014/main" id="{D6F25DE3-EA8C-DB6A-04A8-BA18F423583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253566" y="420562"/>
            <a:ext cx="501863" cy="537220"/>
          </a:xfrm>
          <a:prstGeom prst="rect">
            <a:avLst/>
          </a:prstGeom>
        </xdr:spPr>
      </xdr:pic>
      <xdr:sp macro="" textlink="">
        <xdr:nvSpPr>
          <xdr:cNvPr id="28" name="TextBox 27">
            <a:extLst>
              <a:ext uri="{FF2B5EF4-FFF2-40B4-BE49-F238E27FC236}">
                <a16:creationId xmlns:a16="http://schemas.microsoft.com/office/drawing/2014/main" id="{F9E9F80E-863A-0C0F-927C-9B51BDCF2D18}"/>
              </a:ext>
            </a:extLst>
          </xdr:cNvPr>
          <xdr:cNvSpPr txBox="1"/>
        </xdr:nvSpPr>
        <xdr:spPr>
          <a:xfrm>
            <a:off x="5606307" y="384152"/>
            <a:ext cx="1210014" cy="220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t>Average</a:t>
            </a:r>
            <a:r>
              <a:rPr lang="en-IN" sz="1100" b="1"/>
              <a:t> Salary</a:t>
            </a:r>
          </a:p>
          <a:p>
            <a:endParaRPr lang="en-IN" sz="1100" b="1"/>
          </a:p>
        </xdr:txBody>
      </xdr:sp>
      <xdr:sp macro="" textlink="HR_Analysis!D2">
        <xdr:nvSpPr>
          <xdr:cNvPr id="29" name="TextBox 28">
            <a:extLst>
              <a:ext uri="{FF2B5EF4-FFF2-40B4-BE49-F238E27FC236}">
                <a16:creationId xmlns:a16="http://schemas.microsoft.com/office/drawing/2014/main" id="{833C9830-5066-C672-5A23-F28F0675BC17}"/>
              </a:ext>
            </a:extLst>
          </xdr:cNvPr>
          <xdr:cNvSpPr txBox="1"/>
        </xdr:nvSpPr>
        <xdr:spPr>
          <a:xfrm>
            <a:off x="5690303" y="630001"/>
            <a:ext cx="952917" cy="3633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F9BD745-5784-4D70-9978-A25AF2B8F3F5}" type="TxLink">
              <a:rPr lang="en-US" sz="1100" b="1" i="0" u="none" strike="noStrike">
                <a:solidFill>
                  <a:srgbClr val="000000"/>
                </a:solidFill>
                <a:latin typeface="Calibri"/>
                <a:ea typeface="Calibri"/>
                <a:cs typeface="Calibri"/>
              </a:rPr>
              <a:pPr/>
              <a:t> $59,671.51 </a:t>
            </a:fld>
            <a:endParaRPr lang="en-IN" sz="1100" b="1"/>
          </a:p>
        </xdr:txBody>
      </xdr:sp>
    </xdr:grpSp>
    <xdr:clientData/>
  </xdr:twoCellAnchor>
  <xdr:twoCellAnchor editAs="oneCell">
    <xdr:from>
      <xdr:col>13</xdr:col>
      <xdr:colOff>314409</xdr:colOff>
      <xdr:row>3</xdr:row>
      <xdr:rowOff>18630</xdr:rowOff>
    </xdr:from>
    <xdr:to>
      <xdr:col>14</xdr:col>
      <xdr:colOff>102498</xdr:colOff>
      <xdr:row>4</xdr:row>
      <xdr:rowOff>170971</xdr:rowOff>
    </xdr:to>
    <xdr:pic>
      <xdr:nvPicPr>
        <xdr:cNvPr id="33" name="Picture 32">
          <a:extLst>
            <a:ext uri="{FF2B5EF4-FFF2-40B4-BE49-F238E27FC236}">
              <a16:creationId xmlns:a16="http://schemas.microsoft.com/office/drawing/2014/main" id="{30E395D1-F20C-D1EE-31DE-4BDA23DD79A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213311" y="571454"/>
          <a:ext cx="395697" cy="336615"/>
        </a:xfrm>
        <a:prstGeom prst="rect">
          <a:avLst/>
        </a:prstGeom>
      </xdr:spPr>
    </xdr:pic>
    <xdr:clientData/>
  </xdr:twoCellAnchor>
  <xdr:twoCellAnchor editAs="oneCell">
    <xdr:from>
      <xdr:col>16</xdr:col>
      <xdr:colOff>9867</xdr:colOff>
      <xdr:row>2</xdr:row>
      <xdr:rowOff>74706</xdr:rowOff>
    </xdr:from>
    <xdr:to>
      <xdr:col>16</xdr:col>
      <xdr:colOff>581195</xdr:colOff>
      <xdr:row>5</xdr:row>
      <xdr:rowOff>72645</xdr:rowOff>
    </xdr:to>
    <xdr:pic>
      <xdr:nvPicPr>
        <xdr:cNvPr id="35" name="Picture 34">
          <a:extLst>
            <a:ext uri="{FF2B5EF4-FFF2-40B4-BE49-F238E27FC236}">
              <a16:creationId xmlns:a16="http://schemas.microsoft.com/office/drawing/2014/main" id="{33A6997F-B493-38C1-8E2D-6DD712E190A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731592" y="443255"/>
          <a:ext cx="571328" cy="550763"/>
        </a:xfrm>
        <a:prstGeom prst="rect">
          <a:avLst/>
        </a:prstGeom>
      </xdr:spPr>
    </xdr:pic>
    <xdr:clientData/>
  </xdr:twoCellAnchor>
  <xdr:twoCellAnchor>
    <xdr:from>
      <xdr:col>10</xdr:col>
      <xdr:colOff>513866</xdr:colOff>
      <xdr:row>2</xdr:row>
      <xdr:rowOff>73761</xdr:rowOff>
    </xdr:from>
    <xdr:to>
      <xdr:col>13</xdr:col>
      <xdr:colOff>308784</xdr:colOff>
      <xdr:row>5</xdr:row>
      <xdr:rowOff>116871</xdr:rowOff>
    </xdr:to>
    <xdr:grpSp>
      <xdr:nvGrpSpPr>
        <xdr:cNvPr id="70" name="Group 69">
          <a:extLst>
            <a:ext uri="{FF2B5EF4-FFF2-40B4-BE49-F238E27FC236}">
              <a16:creationId xmlns:a16="http://schemas.microsoft.com/office/drawing/2014/main" id="{4EB47A35-DD0A-7F73-ADBC-224A351AE9AE}"/>
            </a:ext>
          </a:extLst>
        </xdr:cNvPr>
        <xdr:cNvGrpSpPr/>
      </xdr:nvGrpSpPr>
      <xdr:grpSpPr>
        <a:xfrm>
          <a:off x="6591723" y="436618"/>
          <a:ext cx="1618275" cy="587396"/>
          <a:chOff x="6694533" y="193291"/>
          <a:chExt cx="1508985" cy="595934"/>
        </a:xfrm>
      </xdr:grpSpPr>
      <xdr:sp macro="" textlink="">
        <xdr:nvSpPr>
          <xdr:cNvPr id="9" name="Rectangle: Rounded Corners 8">
            <a:extLst>
              <a:ext uri="{FF2B5EF4-FFF2-40B4-BE49-F238E27FC236}">
                <a16:creationId xmlns:a16="http://schemas.microsoft.com/office/drawing/2014/main" id="{8E098A06-8A63-4DE3-829F-021EB9494E14}"/>
              </a:ext>
            </a:extLst>
          </xdr:cNvPr>
          <xdr:cNvSpPr/>
        </xdr:nvSpPr>
        <xdr:spPr>
          <a:xfrm>
            <a:off x="6694533" y="193291"/>
            <a:ext cx="1356730" cy="591701"/>
          </a:xfrm>
          <a:prstGeom prst="roundRect">
            <a:avLst>
              <a:gd name="adj" fmla="val 10215"/>
            </a:avLst>
          </a:prstGeom>
          <a:solidFill>
            <a:schemeClr val="bg1"/>
          </a:solidFill>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pic>
        <xdr:nvPicPr>
          <xdr:cNvPr id="37" name="Picture 36">
            <a:extLst>
              <a:ext uri="{FF2B5EF4-FFF2-40B4-BE49-F238E27FC236}">
                <a16:creationId xmlns:a16="http://schemas.microsoft.com/office/drawing/2014/main" id="{3DD48468-4EA2-4177-8B86-057A5C30795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753374" y="279869"/>
            <a:ext cx="351310" cy="379229"/>
          </a:xfrm>
          <a:prstGeom prst="rect">
            <a:avLst/>
          </a:prstGeom>
        </xdr:spPr>
      </xdr:pic>
      <xdr:sp macro="" textlink="HR_Analysis!G2">
        <xdr:nvSpPr>
          <xdr:cNvPr id="40" name="TextBox 39">
            <a:extLst>
              <a:ext uri="{FF2B5EF4-FFF2-40B4-BE49-F238E27FC236}">
                <a16:creationId xmlns:a16="http://schemas.microsoft.com/office/drawing/2014/main" id="{2F161E18-7FB2-42F7-B20B-23C8E2B28411}"/>
              </a:ext>
            </a:extLst>
          </xdr:cNvPr>
          <xdr:cNvSpPr txBox="1"/>
        </xdr:nvSpPr>
        <xdr:spPr>
          <a:xfrm>
            <a:off x="7247728" y="425878"/>
            <a:ext cx="952918" cy="3633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8C1EF00-706C-48E8-B88E-CD553A661E8C}" type="TxLink">
              <a:rPr lang="en-US" sz="1200" b="1" i="0" u="none" strike="noStrike">
                <a:solidFill>
                  <a:srgbClr val="000000"/>
                </a:solidFill>
                <a:latin typeface="Calibri"/>
                <a:ea typeface="Calibri"/>
                <a:cs typeface="Calibri"/>
              </a:rPr>
              <a:pPr/>
              <a:t>43%</a:t>
            </a:fld>
            <a:endParaRPr lang="en-IN" sz="1200" b="1"/>
          </a:p>
        </xdr:txBody>
      </xdr:sp>
      <xdr:sp macro="" textlink="">
        <xdr:nvSpPr>
          <xdr:cNvPr id="41" name="TextBox 40">
            <a:extLst>
              <a:ext uri="{FF2B5EF4-FFF2-40B4-BE49-F238E27FC236}">
                <a16:creationId xmlns:a16="http://schemas.microsoft.com/office/drawing/2014/main" id="{0AAD9042-739C-4637-93AD-AECCEA338141}"/>
              </a:ext>
            </a:extLst>
          </xdr:cNvPr>
          <xdr:cNvSpPr txBox="1"/>
        </xdr:nvSpPr>
        <xdr:spPr>
          <a:xfrm>
            <a:off x="6993503" y="196813"/>
            <a:ext cx="1210015" cy="220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t>High</a:t>
            </a:r>
            <a:r>
              <a:rPr lang="en-IN" sz="1050" b="1" baseline="0"/>
              <a:t> Performers</a:t>
            </a:r>
          </a:p>
          <a:p>
            <a:endParaRPr lang="en-IN" sz="1100" b="1"/>
          </a:p>
          <a:p>
            <a:endParaRPr lang="en-IN" sz="1100" b="1"/>
          </a:p>
        </xdr:txBody>
      </xdr:sp>
    </xdr:grpSp>
    <xdr:clientData/>
  </xdr:twoCellAnchor>
  <xdr:twoCellAnchor>
    <xdr:from>
      <xdr:col>14</xdr:col>
      <xdr:colOff>36150</xdr:colOff>
      <xdr:row>2</xdr:row>
      <xdr:rowOff>95907</xdr:rowOff>
    </xdr:from>
    <xdr:to>
      <xdr:col>16</xdr:col>
      <xdr:colOff>30949</xdr:colOff>
      <xdr:row>3</xdr:row>
      <xdr:rowOff>132317</xdr:rowOff>
    </xdr:to>
    <xdr:sp macro="" textlink="">
      <xdr:nvSpPr>
        <xdr:cNvPr id="42" name="TextBox 41">
          <a:extLst>
            <a:ext uri="{FF2B5EF4-FFF2-40B4-BE49-F238E27FC236}">
              <a16:creationId xmlns:a16="http://schemas.microsoft.com/office/drawing/2014/main" id="{ECAE98F5-E5A8-4A23-8E47-DAA373F4DCE1}"/>
            </a:ext>
          </a:extLst>
        </xdr:cNvPr>
        <xdr:cNvSpPr txBox="1"/>
      </xdr:nvSpPr>
      <xdr:spPr>
        <a:xfrm>
          <a:off x="8542660" y="464456"/>
          <a:ext cx="1210014" cy="220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dk1"/>
              </a:solidFill>
              <a:effectLst/>
              <a:latin typeface="+mn-lt"/>
              <a:ea typeface="+mn-ea"/>
              <a:cs typeface="+mn-cs"/>
            </a:rPr>
            <a:t>Attrition Rate</a:t>
          </a:r>
          <a:r>
            <a:rPr lang="en-IN" b="1">
              <a:effectLst/>
            </a:rPr>
            <a:t> </a:t>
          </a:r>
          <a:endParaRPr lang="en-IN" sz="1100" b="1"/>
        </a:p>
        <a:p>
          <a:endParaRPr lang="en-IN" sz="1100" b="1"/>
        </a:p>
      </xdr:txBody>
    </xdr:sp>
    <xdr:clientData/>
  </xdr:twoCellAnchor>
  <xdr:twoCellAnchor>
    <xdr:from>
      <xdr:col>16</xdr:col>
      <xdr:colOff>456379</xdr:colOff>
      <xdr:row>2</xdr:row>
      <xdr:rowOff>79637</xdr:rowOff>
    </xdr:from>
    <xdr:to>
      <xdr:col>18</xdr:col>
      <xdr:colOff>451179</xdr:colOff>
      <xdr:row>3</xdr:row>
      <xdr:rowOff>116047</xdr:rowOff>
    </xdr:to>
    <xdr:sp macro="" textlink="">
      <xdr:nvSpPr>
        <xdr:cNvPr id="43" name="TextBox 42">
          <a:extLst>
            <a:ext uri="{FF2B5EF4-FFF2-40B4-BE49-F238E27FC236}">
              <a16:creationId xmlns:a16="http://schemas.microsoft.com/office/drawing/2014/main" id="{0E25D996-F72C-4082-ADA9-E7FB4DF8560C}"/>
            </a:ext>
          </a:extLst>
        </xdr:cNvPr>
        <xdr:cNvSpPr txBox="1"/>
      </xdr:nvSpPr>
      <xdr:spPr>
        <a:xfrm>
          <a:off x="10178104" y="448186"/>
          <a:ext cx="1210016" cy="220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baseline="0"/>
            <a:t>Average Rating</a:t>
          </a:r>
        </a:p>
        <a:p>
          <a:endParaRPr lang="en-IN" sz="1050" b="1" baseline="0"/>
        </a:p>
        <a:p>
          <a:endParaRPr lang="en-IN" sz="1100" b="1"/>
        </a:p>
        <a:p>
          <a:endParaRPr lang="en-IN" sz="1100" b="1"/>
        </a:p>
      </xdr:txBody>
    </xdr:sp>
    <xdr:clientData/>
  </xdr:twoCellAnchor>
  <xdr:twoCellAnchor>
    <xdr:from>
      <xdr:col>14</xdr:col>
      <xdr:colOff>201175</xdr:colOff>
      <xdr:row>3</xdr:row>
      <xdr:rowOff>118326</xdr:rowOff>
    </xdr:from>
    <xdr:to>
      <xdr:col>15</xdr:col>
      <xdr:colOff>546486</xdr:colOff>
      <xdr:row>5</xdr:row>
      <xdr:rowOff>113124</xdr:rowOff>
    </xdr:to>
    <xdr:sp macro="" textlink="HR_Analysis!C2">
      <xdr:nvSpPr>
        <xdr:cNvPr id="44" name="TextBox 43">
          <a:extLst>
            <a:ext uri="{FF2B5EF4-FFF2-40B4-BE49-F238E27FC236}">
              <a16:creationId xmlns:a16="http://schemas.microsoft.com/office/drawing/2014/main" id="{ED1226C3-613E-41EE-B628-6A71C7C1EE28}"/>
            </a:ext>
          </a:extLst>
        </xdr:cNvPr>
        <xdr:cNvSpPr txBox="1"/>
      </xdr:nvSpPr>
      <xdr:spPr>
        <a:xfrm>
          <a:off x="8707685" y="671150"/>
          <a:ext cx="952919" cy="3633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7D5568C-2A97-4C98-9329-ED6953B141EE}" type="TxLink">
            <a:rPr lang="en-US" sz="1100" b="1" i="0" u="none" strike="noStrike">
              <a:solidFill>
                <a:srgbClr val="000000"/>
              </a:solidFill>
              <a:latin typeface="Calibri"/>
              <a:ea typeface="Calibri"/>
              <a:cs typeface="Calibri"/>
            </a:rPr>
            <a:pPr/>
            <a:t>19.67%</a:t>
          </a:fld>
          <a:endParaRPr lang="en-US" sz="1200" b="1" i="0" u="none" strike="noStrike">
            <a:solidFill>
              <a:srgbClr val="000000"/>
            </a:solidFill>
            <a:latin typeface="Calibri"/>
            <a:ea typeface="Calibri"/>
            <a:cs typeface="Calibri"/>
          </a:endParaRPr>
        </a:p>
      </xdr:txBody>
    </xdr:sp>
    <xdr:clientData/>
  </xdr:twoCellAnchor>
  <xdr:twoCellAnchor>
    <xdr:from>
      <xdr:col>17</xdr:col>
      <xdr:colOff>177832</xdr:colOff>
      <xdr:row>3</xdr:row>
      <xdr:rowOff>122122</xdr:rowOff>
    </xdr:from>
    <xdr:to>
      <xdr:col>18</xdr:col>
      <xdr:colOff>523143</xdr:colOff>
      <xdr:row>5</xdr:row>
      <xdr:rowOff>116920</xdr:rowOff>
    </xdr:to>
    <xdr:sp macro="" textlink="HR_Analysis!E2">
      <xdr:nvSpPr>
        <xdr:cNvPr id="45" name="TextBox 44">
          <a:extLst>
            <a:ext uri="{FF2B5EF4-FFF2-40B4-BE49-F238E27FC236}">
              <a16:creationId xmlns:a16="http://schemas.microsoft.com/office/drawing/2014/main" id="{8CACD3EC-418D-46D5-BA80-84E79FF8E4F6}"/>
            </a:ext>
          </a:extLst>
        </xdr:cNvPr>
        <xdr:cNvSpPr txBox="1"/>
      </xdr:nvSpPr>
      <xdr:spPr>
        <a:xfrm>
          <a:off x="10507165" y="674946"/>
          <a:ext cx="952919" cy="3633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620B35E-D965-4D81-B5A4-A23D850D21AF}" type="TxLink">
            <a:rPr lang="en-US" sz="1100" b="1" i="0" u="none" strike="noStrike">
              <a:solidFill>
                <a:srgbClr val="000000"/>
              </a:solidFill>
              <a:latin typeface="Calibri"/>
              <a:ea typeface="Calibri"/>
              <a:cs typeface="Calibri"/>
            </a:rPr>
            <a:pPr/>
            <a:t>3.1</a:t>
          </a:fld>
          <a:endParaRPr lang="en-US" sz="1200" b="1" i="0" u="none" strike="noStrike">
            <a:solidFill>
              <a:srgbClr val="000000"/>
            </a:solidFill>
            <a:latin typeface="Calibri"/>
            <a:ea typeface="Calibri"/>
            <a:cs typeface="Calibri"/>
          </a:endParaRPr>
        </a:p>
      </xdr:txBody>
    </xdr:sp>
    <xdr:clientData/>
  </xdr:twoCellAnchor>
  <xdr:twoCellAnchor>
    <xdr:from>
      <xdr:col>3</xdr:col>
      <xdr:colOff>138936</xdr:colOff>
      <xdr:row>6</xdr:row>
      <xdr:rowOff>68281</xdr:rowOff>
    </xdr:from>
    <xdr:to>
      <xdr:col>8</xdr:col>
      <xdr:colOff>266700</xdr:colOff>
      <xdr:row>17</xdr:row>
      <xdr:rowOff>163867</xdr:rowOff>
    </xdr:to>
    <xdr:sp macro="" textlink="">
      <xdr:nvSpPr>
        <xdr:cNvPr id="4" name="Rectangle: Rounded Corners 3">
          <a:extLst>
            <a:ext uri="{FF2B5EF4-FFF2-40B4-BE49-F238E27FC236}">
              <a16:creationId xmlns:a16="http://schemas.microsoft.com/office/drawing/2014/main" id="{1A7A76C5-9F25-4599-B843-E4FB1D2E1BD6}"/>
            </a:ext>
          </a:extLst>
        </xdr:cNvPr>
        <xdr:cNvSpPr/>
      </xdr:nvSpPr>
      <xdr:spPr>
        <a:xfrm>
          <a:off x="1967736" y="1154131"/>
          <a:ext cx="3175764" cy="2086311"/>
        </a:xfrm>
        <a:prstGeom prst="roundRect">
          <a:avLst>
            <a:gd name="adj" fmla="val 3269"/>
          </a:avLst>
        </a:prstGeom>
        <a:solidFill>
          <a:schemeClr val="bg1"/>
        </a:solidFill>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155026</xdr:colOff>
      <xdr:row>18</xdr:row>
      <xdr:rowOff>71611</xdr:rowOff>
    </xdr:from>
    <xdr:to>
      <xdr:col>7</xdr:col>
      <xdr:colOff>344749</xdr:colOff>
      <xdr:row>29</xdr:row>
      <xdr:rowOff>167197</xdr:rowOff>
    </xdr:to>
    <xdr:sp macro="" textlink="">
      <xdr:nvSpPr>
        <xdr:cNvPr id="6" name="Rectangle: Rounded Corners 5">
          <a:extLst>
            <a:ext uri="{FF2B5EF4-FFF2-40B4-BE49-F238E27FC236}">
              <a16:creationId xmlns:a16="http://schemas.microsoft.com/office/drawing/2014/main" id="{1560246A-50C1-479D-AD9A-73C0D3F8FCA9}"/>
            </a:ext>
          </a:extLst>
        </xdr:cNvPr>
        <xdr:cNvSpPr/>
      </xdr:nvSpPr>
      <xdr:spPr>
        <a:xfrm>
          <a:off x="1974948" y="3400737"/>
          <a:ext cx="2616286" cy="2130052"/>
        </a:xfrm>
        <a:prstGeom prst="roundRect">
          <a:avLst>
            <a:gd name="adj" fmla="val 3964"/>
          </a:avLst>
        </a:prstGeom>
        <a:solidFill>
          <a:schemeClr val="bg1"/>
        </a:solidFill>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374475</xdr:colOff>
      <xdr:row>6</xdr:row>
      <xdr:rowOff>94628</xdr:rowOff>
    </xdr:from>
    <xdr:to>
      <xdr:col>14</xdr:col>
      <xdr:colOff>34119</xdr:colOff>
      <xdr:row>17</xdr:row>
      <xdr:rowOff>136477</xdr:rowOff>
    </xdr:to>
    <xdr:sp macro="" textlink="">
      <xdr:nvSpPr>
        <xdr:cNvPr id="7" name="Rectangle: Rounded Corners 6">
          <a:extLst>
            <a:ext uri="{FF2B5EF4-FFF2-40B4-BE49-F238E27FC236}">
              <a16:creationId xmlns:a16="http://schemas.microsoft.com/office/drawing/2014/main" id="{23D4814B-A9FA-4058-BDC8-EE0034386652}"/>
            </a:ext>
          </a:extLst>
        </xdr:cNvPr>
        <xdr:cNvSpPr/>
      </xdr:nvSpPr>
      <xdr:spPr>
        <a:xfrm>
          <a:off x="5235338" y="1200275"/>
          <a:ext cx="3305291" cy="2068869"/>
        </a:xfrm>
        <a:prstGeom prst="roundRect">
          <a:avLst>
            <a:gd name="adj" fmla="val 3963"/>
          </a:avLst>
        </a:prstGeom>
        <a:solidFill>
          <a:schemeClr val="bg1"/>
        </a:solidFill>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477581</xdr:colOff>
      <xdr:row>18</xdr:row>
      <xdr:rowOff>68652</xdr:rowOff>
    </xdr:from>
    <xdr:to>
      <xdr:col>11</xdr:col>
      <xdr:colOff>244135</xdr:colOff>
      <xdr:row>29</xdr:row>
      <xdr:rowOff>164238</xdr:rowOff>
    </xdr:to>
    <xdr:sp macro="" textlink="">
      <xdr:nvSpPr>
        <xdr:cNvPr id="8" name="Rectangle: Rounded Corners 7">
          <a:extLst>
            <a:ext uri="{FF2B5EF4-FFF2-40B4-BE49-F238E27FC236}">
              <a16:creationId xmlns:a16="http://schemas.microsoft.com/office/drawing/2014/main" id="{DA5E7AFB-71D0-4A52-B51A-6EF2B092B2E7}"/>
            </a:ext>
          </a:extLst>
        </xdr:cNvPr>
        <xdr:cNvSpPr/>
      </xdr:nvSpPr>
      <xdr:spPr>
        <a:xfrm>
          <a:off x="4724066" y="3397778"/>
          <a:ext cx="2193118" cy="2130052"/>
        </a:xfrm>
        <a:prstGeom prst="roundRect">
          <a:avLst>
            <a:gd name="adj" fmla="val 3964"/>
          </a:avLst>
        </a:prstGeom>
        <a:solidFill>
          <a:schemeClr val="bg1"/>
        </a:solidFill>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351814</xdr:colOff>
      <xdr:row>18</xdr:row>
      <xdr:rowOff>59766</xdr:rowOff>
    </xdr:from>
    <xdr:to>
      <xdr:col>14</xdr:col>
      <xdr:colOff>207146</xdr:colOff>
      <xdr:row>29</xdr:row>
      <xdr:rowOff>133166</xdr:rowOff>
    </xdr:to>
    <xdr:sp macro="" textlink="">
      <xdr:nvSpPr>
        <xdr:cNvPr id="12" name="Rectangle: Rounded Corners 11">
          <a:extLst>
            <a:ext uri="{FF2B5EF4-FFF2-40B4-BE49-F238E27FC236}">
              <a16:creationId xmlns:a16="http://schemas.microsoft.com/office/drawing/2014/main" id="{3B0CFF19-4AF2-4D00-B608-787086350B05}"/>
            </a:ext>
          </a:extLst>
        </xdr:cNvPr>
        <xdr:cNvSpPr/>
      </xdr:nvSpPr>
      <xdr:spPr>
        <a:xfrm>
          <a:off x="7035500" y="3376707"/>
          <a:ext cx="1678156" cy="2100420"/>
        </a:xfrm>
        <a:prstGeom prst="roundRect">
          <a:avLst>
            <a:gd name="adj" fmla="val 3964"/>
          </a:avLst>
        </a:prstGeom>
        <a:solidFill>
          <a:schemeClr val="bg1"/>
        </a:solidFill>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147960</xdr:colOff>
      <xdr:row>30</xdr:row>
      <xdr:rowOff>88775</xdr:rowOff>
    </xdr:from>
    <xdr:to>
      <xdr:col>9</xdr:col>
      <xdr:colOff>123825</xdr:colOff>
      <xdr:row>39</xdr:row>
      <xdr:rowOff>76199</xdr:rowOff>
    </xdr:to>
    <xdr:sp macro="" textlink="">
      <xdr:nvSpPr>
        <xdr:cNvPr id="13" name="Rectangle: Rounded Corners 12">
          <a:extLst>
            <a:ext uri="{FF2B5EF4-FFF2-40B4-BE49-F238E27FC236}">
              <a16:creationId xmlns:a16="http://schemas.microsoft.com/office/drawing/2014/main" id="{F48B93CA-7F1A-46B9-B756-BAF59C915ACC}"/>
            </a:ext>
          </a:extLst>
        </xdr:cNvPr>
        <xdr:cNvSpPr/>
      </xdr:nvSpPr>
      <xdr:spPr>
        <a:xfrm>
          <a:off x="1976760" y="5518025"/>
          <a:ext cx="3633465" cy="1616199"/>
        </a:xfrm>
        <a:prstGeom prst="roundRect">
          <a:avLst>
            <a:gd name="adj" fmla="val 3964"/>
          </a:avLst>
        </a:prstGeom>
        <a:solidFill>
          <a:schemeClr val="bg1"/>
        </a:solidFill>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219076</xdr:colOff>
      <xdr:row>30</xdr:row>
      <xdr:rowOff>85816</xdr:rowOff>
    </xdr:from>
    <xdr:to>
      <xdr:col>14</xdr:col>
      <xdr:colOff>200026</xdr:colOff>
      <xdr:row>39</xdr:row>
      <xdr:rowOff>85725</xdr:rowOff>
    </xdr:to>
    <xdr:sp macro="" textlink="">
      <xdr:nvSpPr>
        <xdr:cNvPr id="14" name="Rectangle: Rounded Corners 13">
          <a:extLst>
            <a:ext uri="{FF2B5EF4-FFF2-40B4-BE49-F238E27FC236}">
              <a16:creationId xmlns:a16="http://schemas.microsoft.com/office/drawing/2014/main" id="{83183CC6-B67E-44E5-8C7D-94C2A42046DB}"/>
            </a:ext>
          </a:extLst>
        </xdr:cNvPr>
        <xdr:cNvSpPr/>
      </xdr:nvSpPr>
      <xdr:spPr>
        <a:xfrm>
          <a:off x="5705476" y="5515066"/>
          <a:ext cx="3028950" cy="1628684"/>
        </a:xfrm>
        <a:prstGeom prst="roundRect">
          <a:avLst>
            <a:gd name="adj" fmla="val 3964"/>
          </a:avLst>
        </a:prstGeom>
        <a:solidFill>
          <a:schemeClr val="bg1"/>
        </a:solidFill>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159223</xdr:colOff>
      <xdr:row>6</xdr:row>
      <xdr:rowOff>108047</xdr:rowOff>
    </xdr:from>
    <xdr:to>
      <xdr:col>18</xdr:col>
      <xdr:colOff>523163</xdr:colOff>
      <xdr:row>17</xdr:row>
      <xdr:rowOff>161925</xdr:rowOff>
    </xdr:to>
    <xdr:sp macro="" textlink="">
      <xdr:nvSpPr>
        <xdr:cNvPr id="15" name="Rectangle: Rounded Corners 14">
          <a:extLst>
            <a:ext uri="{FF2B5EF4-FFF2-40B4-BE49-F238E27FC236}">
              <a16:creationId xmlns:a16="http://schemas.microsoft.com/office/drawing/2014/main" id="{80A96651-0C4A-44C9-B038-42C80D9D7285}"/>
            </a:ext>
          </a:extLst>
        </xdr:cNvPr>
        <xdr:cNvSpPr/>
      </xdr:nvSpPr>
      <xdr:spPr>
        <a:xfrm>
          <a:off x="8757313" y="1199868"/>
          <a:ext cx="2820537" cy="2055550"/>
        </a:xfrm>
        <a:prstGeom prst="roundRect">
          <a:avLst>
            <a:gd name="adj" fmla="val 3964"/>
          </a:avLst>
        </a:prstGeom>
        <a:solidFill>
          <a:schemeClr val="bg1"/>
        </a:solidFill>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316304</xdr:colOff>
      <xdr:row>18</xdr:row>
      <xdr:rowOff>57151</xdr:rowOff>
    </xdr:from>
    <xdr:to>
      <xdr:col>18</xdr:col>
      <xdr:colOff>500417</xdr:colOff>
      <xdr:row>26</xdr:row>
      <xdr:rowOff>73981</xdr:rowOff>
    </xdr:to>
    <xdr:sp macro="" textlink="">
      <xdr:nvSpPr>
        <xdr:cNvPr id="17" name="Rectangle: Rounded Corners 16">
          <a:extLst>
            <a:ext uri="{FF2B5EF4-FFF2-40B4-BE49-F238E27FC236}">
              <a16:creationId xmlns:a16="http://schemas.microsoft.com/office/drawing/2014/main" id="{F40E044B-2469-4255-BCED-DAAFD77D71AD}"/>
            </a:ext>
          </a:extLst>
        </xdr:cNvPr>
        <xdr:cNvSpPr/>
      </xdr:nvSpPr>
      <xdr:spPr>
        <a:xfrm>
          <a:off x="8914394" y="3332614"/>
          <a:ext cx="2640710" cy="1472591"/>
        </a:xfrm>
        <a:prstGeom prst="roundRect">
          <a:avLst>
            <a:gd name="adj" fmla="val 3964"/>
          </a:avLst>
        </a:prstGeom>
        <a:solidFill>
          <a:schemeClr val="bg1"/>
        </a:solidFill>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323850</xdr:colOff>
      <xdr:row>26</xdr:row>
      <xdr:rowOff>161867</xdr:rowOff>
    </xdr:from>
    <xdr:to>
      <xdr:col>18</xdr:col>
      <xdr:colOff>510465</xdr:colOff>
      <xdr:row>39</xdr:row>
      <xdr:rowOff>104775</xdr:rowOff>
    </xdr:to>
    <xdr:sp macro="" textlink="">
      <xdr:nvSpPr>
        <xdr:cNvPr id="26" name="Rectangle: Rounded Corners 25">
          <a:extLst>
            <a:ext uri="{FF2B5EF4-FFF2-40B4-BE49-F238E27FC236}">
              <a16:creationId xmlns:a16="http://schemas.microsoft.com/office/drawing/2014/main" id="{24F87F59-43BD-4069-8172-2DDC940CB21E}"/>
            </a:ext>
          </a:extLst>
        </xdr:cNvPr>
        <xdr:cNvSpPr/>
      </xdr:nvSpPr>
      <xdr:spPr>
        <a:xfrm>
          <a:off x="8858250" y="4867217"/>
          <a:ext cx="2625015" cy="2295583"/>
        </a:xfrm>
        <a:prstGeom prst="roundRect">
          <a:avLst>
            <a:gd name="adj" fmla="val 3964"/>
          </a:avLst>
        </a:prstGeom>
        <a:solidFill>
          <a:schemeClr val="bg1"/>
        </a:solidFill>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0</xdr:colOff>
      <xdr:row>6</xdr:row>
      <xdr:rowOff>19050</xdr:rowOff>
    </xdr:from>
    <xdr:to>
      <xdr:col>6</xdr:col>
      <xdr:colOff>571500</xdr:colOff>
      <xdr:row>7</xdr:row>
      <xdr:rowOff>171450</xdr:rowOff>
    </xdr:to>
    <xdr:sp macro="" textlink="">
      <xdr:nvSpPr>
        <xdr:cNvPr id="31" name="Rectangle: Rounded Corners 30">
          <a:extLst>
            <a:ext uri="{FF2B5EF4-FFF2-40B4-BE49-F238E27FC236}">
              <a16:creationId xmlns:a16="http://schemas.microsoft.com/office/drawing/2014/main" id="{58F7AEF4-E12D-F7D5-9D01-37E3879878AB}"/>
            </a:ext>
          </a:extLst>
        </xdr:cNvPr>
        <xdr:cNvSpPr/>
      </xdr:nvSpPr>
      <xdr:spPr>
        <a:xfrm>
          <a:off x="2438400" y="1104900"/>
          <a:ext cx="1790700" cy="33337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174596</xdr:colOff>
      <xdr:row>6</xdr:row>
      <xdr:rowOff>46660</xdr:rowOff>
    </xdr:from>
    <xdr:to>
      <xdr:col>9</xdr:col>
      <xdr:colOff>81643</xdr:colOff>
      <xdr:row>7</xdr:row>
      <xdr:rowOff>154215</xdr:rowOff>
    </xdr:to>
    <xdr:sp macro="" textlink="">
      <xdr:nvSpPr>
        <xdr:cNvPr id="32" name="Rectangle 31">
          <a:extLst>
            <a:ext uri="{FF2B5EF4-FFF2-40B4-BE49-F238E27FC236}">
              <a16:creationId xmlns:a16="http://schemas.microsoft.com/office/drawing/2014/main" id="{554B9303-B81B-D75F-16A4-78BACED43C02}"/>
            </a:ext>
          </a:extLst>
        </xdr:cNvPr>
        <xdr:cNvSpPr/>
      </xdr:nvSpPr>
      <xdr:spPr>
        <a:xfrm>
          <a:off x="2605739" y="1135231"/>
          <a:ext cx="2945975" cy="28898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latin typeface="Bahnschrift SemiBold" panose="020B0502040204020203" pitchFamily="34" charset="0"/>
            </a:rPr>
            <a:t>Employee</a:t>
          </a:r>
          <a:r>
            <a:rPr lang="en-IN" sz="1200" b="1" baseline="0">
              <a:solidFill>
                <a:schemeClr val="tx1"/>
              </a:solidFill>
              <a:latin typeface="Bahnschrift SemiBold" panose="020B0502040204020203" pitchFamily="34" charset="0"/>
            </a:rPr>
            <a:t> Attrition</a:t>
          </a:r>
          <a:r>
            <a:rPr lang="en-IN" sz="1200" b="1">
              <a:solidFill>
                <a:schemeClr val="tx1"/>
              </a:solidFill>
              <a:latin typeface="Bahnschrift SemiBold" panose="020B0502040204020203" pitchFamily="34" charset="0"/>
            </a:rPr>
            <a:t> by</a:t>
          </a:r>
          <a:r>
            <a:rPr lang="en-IN" sz="1200" b="1" baseline="0">
              <a:solidFill>
                <a:schemeClr val="tx1"/>
              </a:solidFill>
              <a:latin typeface="Bahnschrift SemiBold" panose="020B0502040204020203" pitchFamily="34" charset="0"/>
            </a:rPr>
            <a:t> Department</a:t>
          </a:r>
        </a:p>
        <a:p>
          <a:pPr algn="l"/>
          <a:endParaRPr lang="en-IN" sz="1100" b="1">
            <a:solidFill>
              <a:schemeClr val="tx1"/>
            </a:solidFill>
          </a:endParaRPr>
        </a:p>
      </xdr:txBody>
    </xdr:sp>
    <xdr:clientData/>
  </xdr:twoCellAnchor>
  <xdr:twoCellAnchor>
    <xdr:from>
      <xdr:col>8</xdr:col>
      <xdr:colOff>170598</xdr:colOff>
      <xdr:row>5</xdr:row>
      <xdr:rowOff>134679</xdr:rowOff>
    </xdr:from>
    <xdr:to>
      <xdr:col>13</xdr:col>
      <xdr:colOff>568657</xdr:colOff>
      <xdr:row>18</xdr:row>
      <xdr:rowOff>152400</xdr:rowOff>
    </xdr:to>
    <xdr:graphicFrame macro="">
      <xdr:nvGraphicFramePr>
        <xdr:cNvPr id="34" name="Chart 33">
          <a:extLst>
            <a:ext uri="{FF2B5EF4-FFF2-40B4-BE49-F238E27FC236}">
              <a16:creationId xmlns:a16="http://schemas.microsoft.com/office/drawing/2014/main" id="{E652B39B-2CC5-43A1-8A5F-C082AE30F8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6681</xdr:colOff>
      <xdr:row>6</xdr:row>
      <xdr:rowOff>144438</xdr:rowOff>
    </xdr:from>
    <xdr:to>
      <xdr:col>14</xdr:col>
      <xdr:colOff>397206</xdr:colOff>
      <xdr:row>8</xdr:row>
      <xdr:rowOff>125388</xdr:rowOff>
    </xdr:to>
    <xdr:sp macro="" textlink="">
      <xdr:nvSpPr>
        <xdr:cNvPr id="36" name="TextBox 35">
          <a:extLst>
            <a:ext uri="{FF2B5EF4-FFF2-40B4-BE49-F238E27FC236}">
              <a16:creationId xmlns:a16="http://schemas.microsoft.com/office/drawing/2014/main" id="{4CF0A1DA-9AE6-0B0B-E2BD-3A29EFD89444}"/>
            </a:ext>
          </a:extLst>
        </xdr:cNvPr>
        <xdr:cNvSpPr txBox="1"/>
      </xdr:nvSpPr>
      <xdr:spPr>
        <a:xfrm>
          <a:off x="6762323" y="1236259"/>
          <a:ext cx="2232973" cy="3448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Bahnschrift SemiBold" panose="020B0502040204020203" pitchFamily="34" charset="0"/>
              <a:ea typeface="+mn-ea"/>
              <a:cs typeface="+mn-cs"/>
            </a:rPr>
            <a:t>HeadCount by Department</a:t>
          </a:r>
          <a:r>
            <a:rPr lang="en-IN" sz="1100">
              <a:effectLst/>
              <a:latin typeface="Bahnschrift SemiBold" panose="020B0502040204020203" pitchFamily="34" charset="0"/>
            </a:rPr>
            <a:t> </a:t>
          </a:r>
          <a:endParaRPr lang="en-IN" sz="1100">
            <a:latin typeface="Bahnschrift SemiBold" panose="020B0502040204020203" pitchFamily="34" charset="0"/>
          </a:endParaRPr>
        </a:p>
      </xdr:txBody>
    </xdr:sp>
    <xdr:clientData/>
  </xdr:twoCellAnchor>
  <xdr:twoCellAnchor>
    <xdr:from>
      <xdr:col>3</xdr:col>
      <xdr:colOff>104775</xdr:colOff>
      <xdr:row>18</xdr:row>
      <xdr:rowOff>104775</xdr:rowOff>
    </xdr:from>
    <xdr:to>
      <xdr:col>7</xdr:col>
      <xdr:colOff>428625</xdr:colOff>
      <xdr:row>30</xdr:row>
      <xdr:rowOff>9525</xdr:rowOff>
    </xdr:to>
    <xdr:graphicFrame macro="">
      <xdr:nvGraphicFramePr>
        <xdr:cNvPr id="39" name="Chart 38">
          <a:extLst>
            <a:ext uri="{FF2B5EF4-FFF2-40B4-BE49-F238E27FC236}">
              <a16:creationId xmlns:a16="http://schemas.microsoft.com/office/drawing/2014/main" id="{8A17AF48-6EBA-4BA0-9ADE-FEE948B4C8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436302</xdr:colOff>
      <xdr:row>17</xdr:row>
      <xdr:rowOff>178558</xdr:rowOff>
    </xdr:from>
    <xdr:to>
      <xdr:col>7</xdr:col>
      <xdr:colOff>341052</xdr:colOff>
      <xdr:row>19</xdr:row>
      <xdr:rowOff>149983</xdr:rowOff>
    </xdr:to>
    <xdr:sp macro="" textlink="">
      <xdr:nvSpPr>
        <xdr:cNvPr id="50" name="TextBox 49">
          <a:extLst>
            <a:ext uri="{FF2B5EF4-FFF2-40B4-BE49-F238E27FC236}">
              <a16:creationId xmlns:a16="http://schemas.microsoft.com/office/drawing/2014/main" id="{167A78AC-7305-0BDC-5ADB-4F11ABF09895}"/>
            </a:ext>
          </a:extLst>
        </xdr:cNvPr>
        <xdr:cNvSpPr txBox="1"/>
      </xdr:nvSpPr>
      <xdr:spPr>
        <a:xfrm>
          <a:off x="2892899" y="3272051"/>
          <a:ext cx="1747198" cy="335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Bahnschrift SemiBold" panose="020B0502040204020203" pitchFamily="34" charset="0"/>
            </a:rPr>
            <a:t>Attrition by Age Group</a:t>
          </a:r>
        </a:p>
        <a:p>
          <a:endParaRPr lang="en-IN" sz="1100"/>
        </a:p>
      </xdr:txBody>
    </xdr:sp>
    <xdr:clientData/>
  </xdr:twoCellAnchor>
  <xdr:twoCellAnchor>
    <xdr:from>
      <xdr:col>7</xdr:col>
      <xdr:colOff>171450</xdr:colOff>
      <xdr:row>19</xdr:row>
      <xdr:rowOff>0</xdr:rowOff>
    </xdr:from>
    <xdr:to>
      <xdr:col>11</xdr:col>
      <xdr:colOff>466725</xdr:colOff>
      <xdr:row>30</xdr:row>
      <xdr:rowOff>19050</xdr:rowOff>
    </xdr:to>
    <xdr:graphicFrame macro="">
      <xdr:nvGraphicFramePr>
        <xdr:cNvPr id="51" name="Chart 50">
          <a:extLst>
            <a:ext uri="{FF2B5EF4-FFF2-40B4-BE49-F238E27FC236}">
              <a16:creationId xmlns:a16="http://schemas.microsoft.com/office/drawing/2014/main" id="{CF167A7C-B619-4A74-B4D8-864D0CD5FC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8308</xdr:colOff>
      <xdr:row>18</xdr:row>
      <xdr:rowOff>24319</xdr:rowOff>
    </xdr:from>
    <xdr:to>
      <xdr:col>11</xdr:col>
      <xdr:colOff>454362</xdr:colOff>
      <xdr:row>20</xdr:row>
      <xdr:rowOff>33844</xdr:rowOff>
    </xdr:to>
    <xdr:sp macro="" textlink="">
      <xdr:nvSpPr>
        <xdr:cNvPr id="52" name="TextBox 51">
          <a:extLst>
            <a:ext uri="{FF2B5EF4-FFF2-40B4-BE49-F238E27FC236}">
              <a16:creationId xmlns:a16="http://schemas.microsoft.com/office/drawing/2014/main" id="{1E13FE5E-A676-C23C-9F21-312A41D16000}"/>
            </a:ext>
          </a:extLst>
        </xdr:cNvPr>
        <xdr:cNvSpPr txBox="1"/>
      </xdr:nvSpPr>
      <xdr:spPr>
        <a:xfrm>
          <a:off x="4872138" y="3380362"/>
          <a:ext cx="2269990" cy="382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Bahnschrift SemiBold" panose="020B0502040204020203" pitchFamily="34" charset="0"/>
              <a:ea typeface="+mn-ea"/>
              <a:cs typeface="+mn-cs"/>
            </a:rPr>
            <a:t>Total</a:t>
          </a:r>
          <a:r>
            <a:rPr lang="en-IN" sz="1100" b="0" i="0" u="none" strike="noStrike" baseline="0">
              <a:solidFill>
                <a:schemeClr val="dk1"/>
              </a:solidFill>
              <a:effectLst/>
              <a:latin typeface="Bahnschrift SemiBold" panose="020B0502040204020203" pitchFamily="34" charset="0"/>
              <a:ea typeface="+mn-ea"/>
              <a:cs typeface="+mn-cs"/>
            </a:rPr>
            <a:t> Payout by</a:t>
          </a:r>
          <a:r>
            <a:rPr lang="en-IN" sz="1100" b="0" i="0" u="none" strike="noStrike">
              <a:solidFill>
                <a:schemeClr val="dk1"/>
              </a:solidFill>
              <a:effectLst/>
              <a:latin typeface="Bahnschrift SemiBold" panose="020B0502040204020203" pitchFamily="34" charset="0"/>
              <a:ea typeface="+mn-ea"/>
              <a:cs typeface="+mn-cs"/>
            </a:rPr>
            <a:t> Department</a:t>
          </a:r>
          <a:r>
            <a:rPr lang="en-IN">
              <a:effectLst/>
              <a:latin typeface="Bahnschrift SemiBold" panose="020B0502040204020203" pitchFamily="34" charset="0"/>
            </a:rPr>
            <a:t> </a:t>
          </a:r>
          <a:endParaRPr lang="en-IN" sz="1100">
            <a:latin typeface="Bahnschrift SemiBold" panose="020B0502040204020203" pitchFamily="34" charset="0"/>
          </a:endParaRPr>
        </a:p>
      </xdr:txBody>
    </xdr:sp>
    <xdr:clientData/>
  </xdr:twoCellAnchor>
  <xdr:twoCellAnchor>
    <xdr:from>
      <xdr:col>11</xdr:col>
      <xdr:colOff>381000</xdr:colOff>
      <xdr:row>19</xdr:row>
      <xdr:rowOff>19050</xdr:rowOff>
    </xdr:from>
    <xdr:to>
      <xdr:col>14</xdr:col>
      <xdr:colOff>200026</xdr:colOff>
      <xdr:row>29</xdr:row>
      <xdr:rowOff>171450</xdr:rowOff>
    </xdr:to>
    <xdr:graphicFrame macro="">
      <xdr:nvGraphicFramePr>
        <xdr:cNvPr id="53" name="Chart 52">
          <a:extLst>
            <a:ext uri="{FF2B5EF4-FFF2-40B4-BE49-F238E27FC236}">
              <a16:creationId xmlns:a16="http://schemas.microsoft.com/office/drawing/2014/main" id="{F9D9BA99-FAC4-4211-80B7-21232A6640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440567</xdr:colOff>
      <xdr:row>10</xdr:row>
      <xdr:rowOff>167469</xdr:rowOff>
    </xdr:from>
    <xdr:to>
      <xdr:col>11</xdr:col>
      <xdr:colOff>81064</xdr:colOff>
      <xdr:row>15</xdr:row>
      <xdr:rowOff>4549</xdr:rowOff>
    </xdr:to>
    <xdr:sp macro="" textlink="HR_Analysis!B20">
      <xdr:nvSpPr>
        <xdr:cNvPr id="54" name="TextBox 53">
          <a:extLst>
            <a:ext uri="{FF2B5EF4-FFF2-40B4-BE49-F238E27FC236}">
              <a16:creationId xmlns:a16="http://schemas.microsoft.com/office/drawing/2014/main" id="{3629B901-EE84-CAAB-8638-FB5BCD716A95}"/>
            </a:ext>
          </a:extLst>
        </xdr:cNvPr>
        <xdr:cNvSpPr txBox="1"/>
      </xdr:nvSpPr>
      <xdr:spPr>
        <a:xfrm>
          <a:off x="5912376" y="2031937"/>
          <a:ext cx="856454" cy="769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9FE405F-0652-4F85-824A-DA758F74B358}" type="TxLink">
            <a:rPr lang="en-US" sz="2400" b="0" i="0" u="none" strike="noStrike">
              <a:solidFill>
                <a:srgbClr val="000000"/>
              </a:solidFill>
              <a:latin typeface="+mn-lt"/>
              <a:ea typeface="Calibri"/>
              <a:cs typeface="Aharoni" panose="02010803020104030203" pitchFamily="2" charset="-79"/>
            </a:rPr>
            <a:pPr/>
            <a:t>300</a:t>
          </a:fld>
          <a:endParaRPr lang="en-IN" sz="2400">
            <a:latin typeface="+mn-lt"/>
            <a:cs typeface="Aharoni" panose="02010803020104030203" pitchFamily="2" charset="-79"/>
          </a:endParaRPr>
        </a:p>
      </xdr:txBody>
    </xdr:sp>
    <xdr:clientData/>
  </xdr:twoCellAnchor>
  <xdr:twoCellAnchor>
    <xdr:from>
      <xdr:col>3</xdr:col>
      <xdr:colOff>104776</xdr:colOff>
      <xdr:row>31</xdr:row>
      <xdr:rowOff>85725</xdr:rowOff>
    </xdr:from>
    <xdr:to>
      <xdr:col>9</xdr:col>
      <xdr:colOff>133350</xdr:colOff>
      <xdr:row>39</xdr:row>
      <xdr:rowOff>161925</xdr:rowOff>
    </xdr:to>
    <xdr:graphicFrame macro="">
      <xdr:nvGraphicFramePr>
        <xdr:cNvPr id="30" name="Chart 29">
          <a:extLst>
            <a:ext uri="{FF2B5EF4-FFF2-40B4-BE49-F238E27FC236}">
              <a16:creationId xmlns:a16="http://schemas.microsoft.com/office/drawing/2014/main" id="{CF31FB7C-669D-4A5F-98AB-79C5C992E0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400050</xdr:colOff>
      <xdr:row>30</xdr:row>
      <xdr:rowOff>66675</xdr:rowOff>
    </xdr:from>
    <xdr:to>
      <xdr:col>8</xdr:col>
      <xdr:colOff>352425</xdr:colOff>
      <xdr:row>32</xdr:row>
      <xdr:rowOff>9525</xdr:rowOff>
    </xdr:to>
    <xdr:sp macro="" textlink="">
      <xdr:nvSpPr>
        <xdr:cNvPr id="47" name="TextBox 46">
          <a:extLst>
            <a:ext uri="{FF2B5EF4-FFF2-40B4-BE49-F238E27FC236}">
              <a16:creationId xmlns:a16="http://schemas.microsoft.com/office/drawing/2014/main" id="{B4CA3218-7705-BB46-5C0D-7CA11CEFB5B5}"/>
            </a:ext>
          </a:extLst>
        </xdr:cNvPr>
        <xdr:cNvSpPr txBox="1"/>
      </xdr:nvSpPr>
      <xdr:spPr>
        <a:xfrm>
          <a:off x="2228850" y="5495925"/>
          <a:ext cx="30003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Bahnschrift SemiBold" panose="020B0502040204020203" pitchFamily="34" charset="0"/>
            </a:rPr>
            <a:t>Hiring Trend </a:t>
          </a:r>
          <a:r>
            <a:rPr lang="en-IN" sz="1100"/>
            <a:t>(Employees Joined Per Year)</a:t>
          </a:r>
        </a:p>
      </xdr:txBody>
    </xdr:sp>
    <xdr:clientData/>
  </xdr:twoCellAnchor>
  <xdr:twoCellAnchor>
    <xdr:from>
      <xdr:col>9</xdr:col>
      <xdr:colOff>219075</xdr:colOff>
      <xdr:row>31</xdr:row>
      <xdr:rowOff>19050</xdr:rowOff>
    </xdr:from>
    <xdr:to>
      <xdr:col>14</xdr:col>
      <xdr:colOff>104776</xdr:colOff>
      <xdr:row>39</xdr:row>
      <xdr:rowOff>66675</xdr:rowOff>
    </xdr:to>
    <xdr:graphicFrame macro="">
      <xdr:nvGraphicFramePr>
        <xdr:cNvPr id="48" name="Chart 47">
          <a:extLst>
            <a:ext uri="{FF2B5EF4-FFF2-40B4-BE49-F238E27FC236}">
              <a16:creationId xmlns:a16="http://schemas.microsoft.com/office/drawing/2014/main" id="{6403C621-75B5-43AC-A60F-8F6835AD66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381000</xdr:colOff>
      <xdr:row>30</xdr:row>
      <xdr:rowOff>47625</xdr:rowOff>
    </xdr:from>
    <xdr:to>
      <xdr:col>14</xdr:col>
      <xdr:colOff>333375</xdr:colOff>
      <xdr:row>31</xdr:row>
      <xdr:rowOff>171450</xdr:rowOff>
    </xdr:to>
    <xdr:sp macro="" textlink="">
      <xdr:nvSpPr>
        <xdr:cNvPr id="55" name="TextBox 54">
          <a:extLst>
            <a:ext uri="{FF2B5EF4-FFF2-40B4-BE49-F238E27FC236}">
              <a16:creationId xmlns:a16="http://schemas.microsoft.com/office/drawing/2014/main" id="{90825F1E-F0B8-4CDD-9B8E-3654AC65BA0F}"/>
            </a:ext>
          </a:extLst>
        </xdr:cNvPr>
        <xdr:cNvSpPr txBox="1"/>
      </xdr:nvSpPr>
      <xdr:spPr>
        <a:xfrm>
          <a:off x="5867400" y="5476875"/>
          <a:ext cx="30003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Bahnschrift SemiBold" panose="020B0502040204020203" pitchFamily="34" charset="0"/>
            </a:rPr>
            <a:t>Exit Trend </a:t>
          </a:r>
          <a:r>
            <a:rPr lang="en-IN" sz="1100"/>
            <a:t>(Employees Left Per Year)</a:t>
          </a:r>
        </a:p>
        <a:p>
          <a:endParaRPr lang="en-IN" sz="1100"/>
        </a:p>
      </xdr:txBody>
    </xdr:sp>
    <xdr:clientData/>
  </xdr:twoCellAnchor>
  <xdr:twoCellAnchor>
    <xdr:from>
      <xdr:col>14</xdr:col>
      <xdr:colOff>318448</xdr:colOff>
      <xdr:row>28</xdr:row>
      <xdr:rowOff>22747</xdr:rowOff>
    </xdr:from>
    <xdr:to>
      <xdr:col>18</xdr:col>
      <xdr:colOff>500418</xdr:colOff>
      <xdr:row>39</xdr:row>
      <xdr:rowOff>136477</xdr:rowOff>
    </xdr:to>
    <xdr:graphicFrame macro="">
      <xdr:nvGraphicFramePr>
        <xdr:cNvPr id="58" name="Chart 57">
          <a:extLst>
            <a:ext uri="{FF2B5EF4-FFF2-40B4-BE49-F238E27FC236}">
              <a16:creationId xmlns:a16="http://schemas.microsoft.com/office/drawing/2014/main" id="{222DEF84-CAA8-4086-91D8-BA95CE4CFF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522027</xdr:colOff>
      <xdr:row>26</xdr:row>
      <xdr:rowOff>131501</xdr:rowOff>
    </xdr:from>
    <xdr:to>
      <xdr:col>19</xdr:col>
      <xdr:colOff>474403</xdr:colOff>
      <xdr:row>28</xdr:row>
      <xdr:rowOff>73357</xdr:rowOff>
    </xdr:to>
    <xdr:sp macro="" textlink="">
      <xdr:nvSpPr>
        <xdr:cNvPr id="59" name="TextBox 58">
          <a:extLst>
            <a:ext uri="{FF2B5EF4-FFF2-40B4-BE49-F238E27FC236}">
              <a16:creationId xmlns:a16="http://schemas.microsoft.com/office/drawing/2014/main" id="{89F8544C-0C50-4E50-9415-3A1B2172CD83}"/>
            </a:ext>
          </a:extLst>
        </xdr:cNvPr>
        <xdr:cNvSpPr txBox="1"/>
      </xdr:nvSpPr>
      <xdr:spPr>
        <a:xfrm>
          <a:off x="9120117" y="4862725"/>
          <a:ext cx="3023122" cy="3057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Bahnschrift SemiBold" panose="020B0502040204020203" pitchFamily="34" charset="0"/>
            </a:rPr>
            <a:t>Performance</a:t>
          </a:r>
          <a:r>
            <a:rPr lang="en-IN" sz="1100" baseline="0">
              <a:latin typeface="Bahnschrift SemiBold" panose="020B0502040204020203" pitchFamily="34" charset="0"/>
            </a:rPr>
            <a:t> Rating by Department</a:t>
          </a:r>
        </a:p>
        <a:p>
          <a:endParaRPr lang="en-IN" sz="1100"/>
        </a:p>
        <a:p>
          <a:endParaRPr lang="en-IN" sz="1100"/>
        </a:p>
      </xdr:txBody>
    </xdr:sp>
    <xdr:clientData/>
  </xdr:twoCellAnchor>
  <xdr:twoCellAnchor editAs="oneCell">
    <xdr:from>
      <xdr:col>14</xdr:col>
      <xdr:colOff>147850</xdr:colOff>
      <xdr:row>6</xdr:row>
      <xdr:rowOff>136478</xdr:rowOff>
    </xdr:from>
    <xdr:to>
      <xdr:col>16</xdr:col>
      <xdr:colOff>386687</xdr:colOff>
      <xdr:row>17</xdr:row>
      <xdr:rowOff>34119</xdr:rowOff>
    </xdr:to>
    <mc:AlternateContent xmlns:mc="http://schemas.openxmlformats.org/markup-compatibility/2006" xmlns:a14="http://schemas.microsoft.com/office/drawing/2010/main">
      <mc:Choice Requires="a14">
        <xdr:graphicFrame macro="">
          <xdr:nvGraphicFramePr>
            <xdr:cNvPr id="60" name="Department">
              <a:extLst>
                <a:ext uri="{FF2B5EF4-FFF2-40B4-BE49-F238E27FC236}">
                  <a16:creationId xmlns:a16="http://schemas.microsoft.com/office/drawing/2014/main" id="{E00D7793-F0D1-4ADE-AA07-7B064227AA7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745940" y="1228299"/>
              <a:ext cx="1467135" cy="18993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386688</xdr:colOff>
      <xdr:row>6</xdr:row>
      <xdr:rowOff>181969</xdr:rowOff>
    </xdr:from>
    <xdr:to>
      <xdr:col>18</xdr:col>
      <xdr:colOff>477671</xdr:colOff>
      <xdr:row>16</xdr:row>
      <xdr:rowOff>79611</xdr:rowOff>
    </xdr:to>
    <mc:AlternateContent xmlns:mc="http://schemas.openxmlformats.org/markup-compatibility/2006" xmlns:a14="http://schemas.microsoft.com/office/drawing/2010/main">
      <mc:Choice Requires="a14">
        <xdr:graphicFrame macro="">
          <xdr:nvGraphicFramePr>
            <xdr:cNvPr id="64" name="Job_Role">
              <a:extLst>
                <a:ext uri="{FF2B5EF4-FFF2-40B4-BE49-F238E27FC236}">
                  <a16:creationId xmlns:a16="http://schemas.microsoft.com/office/drawing/2014/main" id="{66999B5D-404F-4861-9019-47EBAF32577C}"/>
                </a:ext>
              </a:extLst>
            </xdr:cNvPr>
            <xdr:cNvGraphicFramePr/>
          </xdr:nvGraphicFramePr>
          <xdr:xfrm>
            <a:off x="0" y="0"/>
            <a:ext cx="0" cy="0"/>
          </xdr:xfrm>
          <a:graphic>
            <a:graphicData uri="http://schemas.microsoft.com/office/drawing/2010/slicer">
              <sle:slicer xmlns:sle="http://schemas.microsoft.com/office/drawing/2010/slicer" name="Job_Role"/>
            </a:graphicData>
          </a:graphic>
        </xdr:graphicFrame>
      </mc:Choice>
      <mc:Fallback xmlns="">
        <xdr:sp macro="" textlink="">
          <xdr:nvSpPr>
            <xdr:cNvPr id="0" name=""/>
            <xdr:cNvSpPr>
              <a:spLocks noTextEdit="1"/>
            </xdr:cNvSpPr>
          </xdr:nvSpPr>
          <xdr:spPr>
            <a:xfrm>
              <a:off x="10213076" y="1273790"/>
              <a:ext cx="1319282" cy="17173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548066</xdr:colOff>
      <xdr:row>18</xdr:row>
      <xdr:rowOff>64745</xdr:rowOff>
    </xdr:from>
    <xdr:to>
      <xdr:col>18</xdr:col>
      <xdr:colOff>263737</xdr:colOff>
      <xdr:row>26</xdr:row>
      <xdr:rowOff>97377</xdr:rowOff>
    </xdr:to>
    <mc:AlternateContent xmlns:mc="http://schemas.openxmlformats.org/markup-compatibility/2006" xmlns:a14="http://schemas.microsoft.com/office/drawing/2010/main">
      <mc:Choice Requires="a14">
        <xdr:graphicFrame macro="">
          <xdr:nvGraphicFramePr>
            <xdr:cNvPr id="66" name="Work_Life_Balance">
              <a:extLst>
                <a:ext uri="{FF2B5EF4-FFF2-40B4-BE49-F238E27FC236}">
                  <a16:creationId xmlns:a16="http://schemas.microsoft.com/office/drawing/2014/main" id="{BFCB19B7-9B8A-4DE2-9AC2-4B6BC6B24B4B}"/>
                </a:ext>
              </a:extLst>
            </xdr:cNvPr>
            <xdr:cNvGraphicFramePr/>
          </xdr:nvGraphicFramePr>
          <xdr:xfrm>
            <a:off x="0" y="0"/>
            <a:ext cx="0" cy="0"/>
          </xdr:xfrm>
          <a:graphic>
            <a:graphicData uri="http://schemas.microsoft.com/office/drawing/2010/slicer">
              <sle:slicer xmlns:sle="http://schemas.microsoft.com/office/drawing/2010/slicer" name="Work_Life_Balance"/>
            </a:graphicData>
          </a:graphic>
        </xdr:graphicFrame>
      </mc:Choice>
      <mc:Fallback xmlns="">
        <xdr:sp macro="" textlink="">
          <xdr:nvSpPr>
            <xdr:cNvPr id="0" name=""/>
            <xdr:cNvSpPr>
              <a:spLocks noTextEdit="1"/>
            </xdr:cNvSpPr>
          </xdr:nvSpPr>
          <xdr:spPr>
            <a:xfrm>
              <a:off x="9057066" y="3330459"/>
              <a:ext cx="2146814" cy="14840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523301</xdr:colOff>
      <xdr:row>0</xdr:row>
      <xdr:rowOff>18362</xdr:rowOff>
    </xdr:from>
    <xdr:to>
      <xdr:col>15</xdr:col>
      <xdr:colOff>257060</xdr:colOff>
      <xdr:row>2</xdr:row>
      <xdr:rowOff>20230</xdr:rowOff>
    </xdr:to>
    <xdr:sp macro="" textlink="">
      <xdr:nvSpPr>
        <xdr:cNvPr id="16" name="TextBox 15">
          <a:extLst>
            <a:ext uri="{FF2B5EF4-FFF2-40B4-BE49-F238E27FC236}">
              <a16:creationId xmlns:a16="http://schemas.microsoft.com/office/drawing/2014/main" id="{7486CEA6-A7BF-9472-D369-C9CBB3943592}"/>
            </a:ext>
          </a:extLst>
        </xdr:cNvPr>
        <xdr:cNvSpPr txBox="1"/>
      </xdr:nvSpPr>
      <xdr:spPr>
        <a:xfrm>
          <a:off x="5378522" y="18362"/>
          <a:ext cx="3982078" cy="366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ADLaM Display" panose="02010000000000000000" pitchFamily="2" charset="0"/>
              <a:ea typeface="ADLaM Display" panose="02010000000000000000" pitchFamily="2" charset="0"/>
              <a:cs typeface="ADLaM Display" panose="02010000000000000000" pitchFamily="2" charset="0"/>
            </a:rPr>
            <a:t>HR</a:t>
          </a:r>
          <a:r>
            <a:rPr lang="en-IN" sz="1600" baseline="0">
              <a:latin typeface="ADLaM Display" panose="02010000000000000000" pitchFamily="2" charset="0"/>
              <a:ea typeface="ADLaM Display" panose="02010000000000000000" pitchFamily="2" charset="0"/>
              <a:cs typeface="ADLaM Display" panose="02010000000000000000" pitchFamily="2" charset="0"/>
            </a:rPr>
            <a:t> Analytics Dashboard</a:t>
          </a:r>
          <a:endParaRPr lang="en-IN" sz="1600">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3</xdr:col>
      <xdr:colOff>121596</xdr:colOff>
      <xdr:row>7</xdr:row>
      <xdr:rowOff>32424</xdr:rowOff>
    </xdr:from>
    <xdr:to>
      <xdr:col>8</xdr:col>
      <xdr:colOff>380999</xdr:colOff>
      <xdr:row>17</xdr:row>
      <xdr:rowOff>97275</xdr:rowOff>
    </xdr:to>
    <xdr:graphicFrame macro="">
      <xdr:nvGraphicFramePr>
        <xdr:cNvPr id="71" name="Chart 70">
          <a:extLst>
            <a:ext uri="{FF2B5EF4-FFF2-40B4-BE49-F238E27FC236}">
              <a16:creationId xmlns:a16="http://schemas.microsoft.com/office/drawing/2014/main" id="{4D3193A4-05C9-4B34-AA2D-0D1F383F58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332361</xdr:colOff>
      <xdr:row>18</xdr:row>
      <xdr:rowOff>8105</xdr:rowOff>
    </xdr:from>
    <xdr:to>
      <xdr:col>14</xdr:col>
      <xdr:colOff>445851</xdr:colOff>
      <xdr:row>19</xdr:row>
      <xdr:rowOff>40532</xdr:rowOff>
    </xdr:to>
    <xdr:sp macro="" textlink="">
      <xdr:nvSpPr>
        <xdr:cNvPr id="72" name="TextBox 71">
          <a:extLst>
            <a:ext uri="{FF2B5EF4-FFF2-40B4-BE49-F238E27FC236}">
              <a16:creationId xmlns:a16="http://schemas.microsoft.com/office/drawing/2014/main" id="{39EC7E11-709C-70A9-0680-0574A84E1132}"/>
            </a:ext>
          </a:extLst>
        </xdr:cNvPr>
        <xdr:cNvSpPr txBox="1"/>
      </xdr:nvSpPr>
      <xdr:spPr>
        <a:xfrm>
          <a:off x="7020127" y="3364148"/>
          <a:ext cx="1937426" cy="218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chemeClr val="tx1">
                  <a:lumMod val="95000"/>
                  <a:lumOff val="5000"/>
                </a:schemeClr>
              </a:solidFill>
              <a:latin typeface="Bahnschrift SemiBold" panose="020B0502040204020203" pitchFamily="34" charset="0"/>
            </a:rPr>
            <a:t>Average Rating by Gender</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38.640097222225" createdVersion="8" refreshedVersion="8" minRefreshableVersion="3" recordCount="300" xr:uid="{A9E900CD-0D7D-4DC0-BAE4-21EE6592CD52}">
  <cacheSource type="worksheet">
    <worksheetSource name="HR_Table"/>
  </cacheSource>
  <cacheFields count="18">
    <cacheField name="Employee_ID" numFmtId="0">
      <sharedItems count="300">
        <s v="E001"/>
        <s v="E002"/>
        <s v="E003"/>
        <s v="E004"/>
        <s v="E005"/>
        <s v="E006"/>
        <s v="E007"/>
        <s v="E008"/>
        <s v="E009"/>
        <s v="E010"/>
        <s v="E011"/>
        <s v="E012"/>
        <s v="E013"/>
        <s v="E014"/>
        <s v="E015"/>
        <s v="E016"/>
        <s v="E017"/>
        <s v="E018"/>
        <s v="E019"/>
        <s v="E020"/>
        <s v="E021"/>
        <s v="E022"/>
        <s v="E023"/>
        <s v="E024"/>
        <s v="E025"/>
        <s v="E026"/>
        <s v="E027"/>
        <s v="E028"/>
        <s v="E029"/>
        <s v="E030"/>
        <s v="E031"/>
        <s v="E032"/>
        <s v="E033"/>
        <s v="E034"/>
        <s v="E035"/>
        <s v="E036"/>
        <s v="E037"/>
        <s v="E038"/>
        <s v="E039"/>
        <s v="E040"/>
        <s v="E041"/>
        <s v="E042"/>
        <s v="E043"/>
        <s v="E044"/>
        <s v="E045"/>
        <s v="E046"/>
        <s v="E047"/>
        <s v="E048"/>
        <s v="E049"/>
        <s v="E050"/>
        <s v="E051"/>
        <s v="E052"/>
        <s v="E053"/>
        <s v="E054"/>
        <s v="E055"/>
        <s v="E056"/>
        <s v="E057"/>
        <s v="E058"/>
        <s v="E059"/>
        <s v="E060"/>
        <s v="E061"/>
        <s v="E062"/>
        <s v="E063"/>
        <s v="E064"/>
        <s v="E065"/>
        <s v="E066"/>
        <s v="E067"/>
        <s v="E068"/>
        <s v="E069"/>
        <s v="E070"/>
        <s v="E071"/>
        <s v="E072"/>
        <s v="E073"/>
        <s v="E074"/>
        <s v="E075"/>
        <s v="E076"/>
        <s v="E077"/>
        <s v="E078"/>
        <s v="E079"/>
        <s v="E080"/>
        <s v="E081"/>
        <s v="E082"/>
        <s v="E083"/>
        <s v="E084"/>
        <s v="E085"/>
        <s v="E086"/>
        <s v="E087"/>
        <s v="E088"/>
        <s v="E089"/>
        <s v="E090"/>
        <s v="E091"/>
        <s v="E092"/>
        <s v="E093"/>
        <s v="E094"/>
        <s v="E095"/>
        <s v="E096"/>
        <s v="E097"/>
        <s v="E098"/>
        <s v="E099"/>
        <s v="E100"/>
        <s v="E101"/>
        <s v="E102"/>
        <s v="E103"/>
        <s v="E104"/>
        <s v="E105"/>
        <s v="E106"/>
        <s v="E107"/>
        <s v="E108"/>
        <s v="E109"/>
        <s v="E110"/>
        <s v="E111"/>
        <s v="E112"/>
        <s v="E113"/>
        <s v="E114"/>
        <s v="E115"/>
        <s v="E116"/>
        <s v="E117"/>
        <s v="E118"/>
        <s v="E119"/>
        <s v="E120"/>
        <s v="E121"/>
        <s v="E122"/>
        <s v="E123"/>
        <s v="E124"/>
        <s v="E125"/>
        <s v="E126"/>
        <s v="E127"/>
        <s v="E128"/>
        <s v="E129"/>
        <s v="E130"/>
        <s v="E131"/>
        <s v="E132"/>
        <s v="E133"/>
        <s v="E134"/>
        <s v="E135"/>
        <s v="E136"/>
        <s v="E137"/>
        <s v="E138"/>
        <s v="E139"/>
        <s v="E140"/>
        <s v="E141"/>
        <s v="E142"/>
        <s v="E143"/>
        <s v="E144"/>
        <s v="E145"/>
        <s v="E146"/>
        <s v="E147"/>
        <s v="E148"/>
        <s v="E149"/>
        <s v="E150"/>
        <s v="E151"/>
        <s v="E152"/>
        <s v="E153"/>
        <s v="E154"/>
        <s v="E155"/>
        <s v="E156"/>
        <s v="E157"/>
        <s v="E158"/>
        <s v="E159"/>
        <s v="E160"/>
        <s v="E161"/>
        <s v="E162"/>
        <s v="E163"/>
        <s v="E164"/>
        <s v="E165"/>
        <s v="E166"/>
        <s v="E167"/>
        <s v="E168"/>
        <s v="E169"/>
        <s v="E170"/>
        <s v="E171"/>
        <s v="E172"/>
        <s v="E173"/>
        <s v="E174"/>
        <s v="E175"/>
        <s v="E176"/>
        <s v="E177"/>
        <s v="E178"/>
        <s v="E179"/>
        <s v="E180"/>
        <s v="E181"/>
        <s v="E182"/>
        <s v="E183"/>
        <s v="E184"/>
        <s v="E185"/>
        <s v="E186"/>
        <s v="E187"/>
        <s v="E188"/>
        <s v="E189"/>
        <s v="E190"/>
        <s v="E191"/>
        <s v="E192"/>
        <s v="E193"/>
        <s v="E194"/>
        <s v="E195"/>
        <s v="E196"/>
        <s v="E197"/>
        <s v="E198"/>
        <s v="E199"/>
        <s v="E200"/>
        <s v="E201"/>
        <s v="E202"/>
        <s v="E203"/>
        <s v="E204"/>
        <s v="E205"/>
        <s v="E206"/>
        <s v="E207"/>
        <s v="E208"/>
        <s v="E209"/>
        <s v="E210"/>
        <s v="E211"/>
        <s v="E212"/>
        <s v="E213"/>
        <s v="E214"/>
        <s v="E215"/>
        <s v="E216"/>
        <s v="E217"/>
        <s v="E218"/>
        <s v="E219"/>
        <s v="E220"/>
        <s v="E221"/>
        <s v="E222"/>
        <s v="E223"/>
        <s v="E224"/>
        <s v="E225"/>
        <s v="E226"/>
        <s v="E227"/>
        <s v="E228"/>
        <s v="E229"/>
        <s v="E230"/>
        <s v="E231"/>
        <s v="E232"/>
        <s v="E233"/>
        <s v="E234"/>
        <s v="E235"/>
        <s v="E236"/>
        <s v="E237"/>
        <s v="E238"/>
        <s v="E239"/>
        <s v="E240"/>
        <s v="E241"/>
        <s v="E242"/>
        <s v="E243"/>
        <s v="E244"/>
        <s v="E245"/>
        <s v="E246"/>
        <s v="E247"/>
        <s v="E248"/>
        <s v="E249"/>
        <s v="E250"/>
        <s v="E251"/>
        <s v="E252"/>
        <s v="E253"/>
        <s v="E254"/>
        <s v="E255"/>
        <s v="E256"/>
        <s v="E257"/>
        <s v="E258"/>
        <s v="E259"/>
        <s v="E260"/>
        <s v="E261"/>
        <s v="E262"/>
        <s v="E263"/>
        <s v="E264"/>
        <s v="E265"/>
        <s v="E266"/>
        <s v="E267"/>
        <s v="E268"/>
        <s v="E269"/>
        <s v="E270"/>
        <s v="E271"/>
        <s v="E272"/>
        <s v="E273"/>
        <s v="E274"/>
        <s v="E275"/>
        <s v="E276"/>
        <s v="E277"/>
        <s v="E278"/>
        <s v="E279"/>
        <s v="E280"/>
        <s v="E281"/>
        <s v="E282"/>
        <s v="E283"/>
        <s v="E284"/>
        <s v="E285"/>
        <s v="E286"/>
        <s v="E287"/>
        <s v="E288"/>
        <s v="E289"/>
        <s v="E290"/>
        <s v="E291"/>
        <s v="E292"/>
        <s v="E293"/>
        <s v="E294"/>
        <s v="E295"/>
        <s v="E296"/>
        <s v="E297"/>
        <s v="E298"/>
        <s v="E299"/>
        <s v="E300"/>
      </sharedItems>
    </cacheField>
    <cacheField name="Gender" numFmtId="0">
      <sharedItems count="2">
        <s v="Male"/>
        <s v="Female"/>
      </sharedItems>
    </cacheField>
    <cacheField name="Age" numFmtId="0">
      <sharedItems containsSemiMixedTypes="0" containsString="0" containsNumber="1" containsInteger="1" minValue="22" maxValue="55" count="34">
        <n v="36"/>
        <n v="32"/>
        <n v="44"/>
        <n v="27"/>
        <n v="26"/>
        <n v="42"/>
        <n v="35"/>
        <n v="49"/>
        <n v="31"/>
        <n v="22"/>
        <n v="54"/>
        <n v="38"/>
        <n v="50"/>
        <n v="37"/>
        <n v="25"/>
        <n v="46"/>
        <n v="47"/>
        <n v="41"/>
        <n v="43"/>
        <n v="24"/>
        <n v="30"/>
        <n v="48"/>
        <n v="39"/>
        <n v="33"/>
        <n v="55"/>
        <n v="34"/>
        <n v="40"/>
        <n v="51"/>
        <n v="28"/>
        <n v="23"/>
        <n v="53"/>
        <n v="52"/>
        <n v="29"/>
        <n v="45"/>
      </sharedItems>
    </cacheField>
    <cacheField name="Department" numFmtId="0">
      <sharedItems count="5">
        <s v="HR"/>
        <s v="Operations"/>
        <s v="Sales"/>
        <s v="IT"/>
        <s v="Finance"/>
      </sharedItems>
    </cacheField>
    <cacheField name="Job_Role" numFmtId="0">
      <sharedItems count="4">
        <s v="Executive"/>
        <s v="Manager"/>
        <s v="Analyst"/>
        <s v="Engineer"/>
      </sharedItems>
    </cacheField>
    <cacheField name="Education" numFmtId="0">
      <sharedItems count="2">
        <s v="Graduate"/>
        <s v="Post Graduate"/>
      </sharedItems>
    </cacheField>
    <cacheField name="Monthly_Salary" numFmtId="0">
      <sharedItems containsSemiMixedTypes="0" containsString="0" containsNumber="1" containsInteger="1" minValue="25102" maxValue="89865" count="299">
        <n v="69348"/>
        <n v="71925"/>
        <n v="43210"/>
        <n v="77895"/>
        <n v="62837"/>
        <n v="43217"/>
        <n v="35708"/>
        <n v="78857"/>
        <n v="82978"/>
        <n v="48723"/>
        <n v="64086"/>
        <n v="75370"/>
        <n v="82050"/>
        <n v="32331"/>
        <n v="89093"/>
        <n v="85877"/>
        <n v="32930"/>
        <n v="71389"/>
        <n v="68842"/>
        <n v="37478"/>
        <n v="51386"/>
        <n v="55318"/>
        <n v="51634"/>
        <n v="42380"/>
        <n v="39267"/>
        <n v="80793"/>
        <n v="62940"/>
        <n v="40642"/>
        <n v="55034"/>
        <n v="49217"/>
        <n v="42332"/>
        <n v="58122"/>
        <n v="75536"/>
        <n v="86934"/>
        <n v="48897"/>
        <n v="81662"/>
        <n v="76601"/>
        <n v="39609"/>
        <n v="69532"/>
        <n v="32104"/>
        <n v="83949"/>
        <n v="48869"/>
        <n v="68705"/>
        <n v="69388"/>
        <n v="76495"/>
        <n v="68178"/>
        <n v="39722"/>
        <n v="72077"/>
        <n v="36526"/>
        <n v="87261"/>
        <n v="80041"/>
        <n v="45952"/>
        <n v="51712"/>
        <n v="25386"/>
        <n v="53562"/>
        <n v="89272"/>
        <n v="81809"/>
        <n v="74887"/>
        <n v="39694"/>
        <n v="68873"/>
        <n v="88223"/>
        <n v="63803"/>
        <n v="68353"/>
        <n v="87966"/>
        <n v="79115"/>
        <n v="74183"/>
        <n v="48253"/>
        <n v="30610"/>
        <n v="31098"/>
        <n v="73885"/>
        <n v="72270"/>
        <n v="43120"/>
        <n v="71400"/>
        <n v="31723"/>
        <n v="32476"/>
        <n v="30582"/>
        <n v="84539"/>
        <n v="42343"/>
        <n v="70178"/>
        <n v="85549"/>
        <n v="28908"/>
        <n v="70857"/>
        <n v="64564"/>
        <n v="55834"/>
        <n v="47803"/>
        <n v="43888"/>
        <n v="68100"/>
        <n v="42501"/>
        <n v="71516"/>
        <n v="87066"/>
        <n v="40973"/>
        <n v="47274"/>
        <n v="47618"/>
        <n v="27860"/>
        <n v="57918"/>
        <n v="29903"/>
        <n v="87530"/>
        <n v="53440"/>
        <n v="44226"/>
        <n v="64943"/>
        <n v="83910"/>
        <n v="80397"/>
        <n v="89090"/>
        <n v="64784"/>
        <n v="76682"/>
        <n v="36510"/>
        <n v="88398"/>
        <n v="30918"/>
        <n v="32100"/>
        <n v="84597"/>
        <n v="40387"/>
        <n v="79636"/>
        <n v="81062"/>
        <n v="37439"/>
        <n v="89803"/>
        <n v="43171"/>
        <n v="48477"/>
        <n v="56211"/>
        <n v="67161"/>
        <n v="83934"/>
        <n v="58131"/>
        <n v="52119"/>
        <n v="49530"/>
        <n v="78200"/>
        <n v="81891"/>
        <n v="80527"/>
        <n v="26897"/>
        <n v="29560"/>
        <n v="45423"/>
        <n v="68380"/>
        <n v="53174"/>
        <n v="89516"/>
        <n v="46503"/>
        <n v="51022"/>
        <n v="43973"/>
        <n v="80344"/>
        <n v="39520"/>
        <n v="40484"/>
        <n v="55405"/>
        <n v="29475"/>
        <n v="55260"/>
        <n v="63032"/>
        <n v="54525"/>
        <n v="59345"/>
        <n v="76722"/>
        <n v="46847"/>
        <n v="45288"/>
        <n v="26194"/>
        <n v="35154"/>
        <n v="35109"/>
        <n v="88542"/>
        <n v="69453"/>
        <n v="82213"/>
        <n v="30496"/>
        <n v="85979"/>
        <n v="39715"/>
        <n v="85122"/>
        <n v="79720"/>
        <n v="29116"/>
        <n v="25102"/>
        <n v="87482"/>
        <n v="76676"/>
        <n v="60783"/>
        <n v="27423"/>
        <n v="41601"/>
        <n v="77385"/>
        <n v="70355"/>
        <n v="60748"/>
        <n v="35921"/>
        <n v="29917"/>
        <n v="29406"/>
        <n v="87182"/>
        <n v="41358"/>
        <n v="39062"/>
        <n v="78117"/>
        <n v="58341"/>
        <n v="77668"/>
        <n v="78958"/>
        <n v="82537"/>
        <n v="35790"/>
        <n v="66619"/>
        <n v="36219"/>
        <n v="67672"/>
        <n v="77736"/>
        <n v="55437"/>
        <n v="74850"/>
        <n v="31344"/>
        <n v="75011"/>
        <n v="86946"/>
        <n v="64158"/>
        <n v="75060"/>
        <n v="50319"/>
        <n v="49457"/>
        <n v="27550"/>
        <n v="50752"/>
        <n v="49140"/>
        <n v="72277"/>
        <n v="62523"/>
        <n v="57887"/>
        <n v="87697"/>
        <n v="43284"/>
        <n v="47859"/>
        <n v="44035"/>
        <n v="79260"/>
        <n v="68898"/>
        <n v="88210"/>
        <n v="46048"/>
        <n v="86205"/>
        <n v="62221"/>
        <n v="42880"/>
        <n v="76823"/>
        <n v="51269"/>
        <n v="40435"/>
        <n v="70401"/>
        <n v="66858"/>
        <n v="52252"/>
        <n v="30118"/>
        <n v="80999"/>
        <n v="54716"/>
        <n v="78507"/>
        <n v="27079"/>
        <n v="81991"/>
        <n v="60209"/>
        <n v="78959"/>
        <n v="40772"/>
        <n v="53767"/>
        <n v="40525"/>
        <n v="61428"/>
        <n v="44653"/>
        <n v="61856"/>
        <n v="85439"/>
        <n v="69149"/>
        <n v="44869"/>
        <n v="84973"/>
        <n v="58607"/>
        <n v="52127"/>
        <n v="46618"/>
        <n v="55200"/>
        <n v="79989"/>
        <n v="39334"/>
        <n v="59879"/>
        <n v="77833"/>
        <n v="30178"/>
        <n v="31127"/>
        <n v="80399"/>
        <n v="42766"/>
        <n v="88010"/>
        <n v="74519"/>
        <n v="88499"/>
        <n v="69544"/>
        <n v="35107"/>
        <n v="48587"/>
        <n v="48194"/>
        <n v="50414"/>
        <n v="42590"/>
        <n v="48666"/>
        <n v="25443"/>
        <n v="78443"/>
        <n v="88214"/>
        <n v="78509"/>
        <n v="53734"/>
        <n v="71873"/>
        <n v="76820"/>
        <n v="88360"/>
        <n v="55347"/>
        <n v="79481"/>
        <n v="56205"/>
        <n v="69377"/>
        <n v="77281"/>
        <n v="63810"/>
        <n v="46363"/>
        <n v="65062"/>
        <n v="69047"/>
        <n v="52409"/>
        <n v="43929"/>
        <n v="37787"/>
        <n v="62053"/>
        <n v="61026"/>
        <n v="89865"/>
        <n v="81505"/>
        <n v="76435"/>
        <n v="43961"/>
        <n v="81822"/>
        <n v="62842"/>
        <n v="54798"/>
        <n v="77145"/>
        <n v="47135"/>
        <n v="26067"/>
        <n v="82306"/>
        <n v="72578"/>
        <n v="59042"/>
        <n v="29641"/>
        <n v="33986"/>
        <n v="72345"/>
        <n v="74312"/>
        <n v="41263"/>
        <n v="44368"/>
        <n v="63493"/>
        <n v="52759"/>
      </sharedItems>
    </cacheField>
    <cacheField name="Joining_Date" numFmtId="164">
      <sharedItems containsSemiMixedTypes="0" containsNonDate="0" containsDate="1" containsString="0" minDate="2016-01-11T00:00:00" maxDate="2024-03-13T00:00:00" count="289">
        <d v="2016-04-12T00:00:00"/>
        <d v="2020-09-24T00:00:00"/>
        <d v="2021-01-13T00:00:00"/>
        <d v="2017-02-22T00:00:00"/>
        <d v="2017-05-26T00:00:00"/>
        <d v="2023-06-01T00:00:00"/>
        <d v="2020-02-25T00:00:00"/>
        <d v="2023-03-06T00:00:00"/>
        <d v="2019-01-01T00:00:00"/>
        <d v="2017-07-25T00:00:00"/>
        <d v="2021-07-14T00:00:00"/>
        <d v="2022-09-06T00:00:00"/>
        <d v="2020-11-15T00:00:00"/>
        <d v="2020-03-11T00:00:00"/>
        <d v="2016-08-25T00:00:00"/>
        <d v="2023-05-26T00:00:00"/>
        <d v="2020-06-22T00:00:00"/>
        <d v="2019-10-16T00:00:00"/>
        <d v="2016-05-08T00:00:00"/>
        <d v="2017-06-25T00:00:00"/>
        <d v="2019-12-22T00:00:00"/>
        <d v="2018-02-23T00:00:00"/>
        <d v="2022-03-04T00:00:00"/>
        <d v="2020-06-30T00:00:00"/>
        <d v="2023-10-24T00:00:00"/>
        <d v="2016-08-22T00:00:00"/>
        <d v="2016-10-05T00:00:00"/>
        <d v="2016-12-01T00:00:00"/>
        <d v="2023-07-14T00:00:00"/>
        <d v="2022-01-11T00:00:00"/>
        <d v="2022-02-03T00:00:00"/>
        <d v="2017-09-28T00:00:00"/>
        <d v="2017-01-13T00:00:00"/>
        <d v="2020-12-14T00:00:00"/>
        <d v="2022-07-13T00:00:00"/>
        <d v="2023-08-25T00:00:00"/>
        <d v="2016-04-11T00:00:00"/>
        <d v="2021-04-11T00:00:00"/>
        <d v="2019-09-06T00:00:00"/>
        <d v="2017-04-17T00:00:00"/>
        <d v="2024-03-03T00:00:00"/>
        <d v="2016-06-30T00:00:00"/>
        <d v="2022-12-27T00:00:00"/>
        <d v="2023-10-26T00:00:00"/>
        <d v="2022-02-22T00:00:00"/>
        <d v="2023-06-12T00:00:00"/>
        <d v="2016-07-08T00:00:00"/>
        <d v="2018-09-26T00:00:00"/>
        <d v="2022-04-02T00:00:00"/>
        <d v="2020-12-31T00:00:00"/>
        <d v="2019-01-29T00:00:00"/>
        <d v="2017-09-09T00:00:00"/>
        <d v="2016-09-12T00:00:00"/>
        <d v="2020-09-12T00:00:00"/>
        <d v="2019-10-08T00:00:00"/>
        <d v="2022-08-21T00:00:00"/>
        <d v="2018-12-01T00:00:00"/>
        <d v="2018-10-30T00:00:00"/>
        <d v="2018-10-09T00:00:00"/>
        <d v="2023-11-05T00:00:00"/>
        <d v="2016-04-15T00:00:00"/>
        <d v="2023-09-03T00:00:00"/>
        <d v="2023-04-06T00:00:00"/>
        <d v="2020-11-18T00:00:00"/>
        <d v="2018-10-02T00:00:00"/>
        <d v="2016-04-27T00:00:00"/>
        <d v="2022-09-07T00:00:00"/>
        <d v="2022-03-24T00:00:00"/>
        <d v="2023-10-04T00:00:00"/>
        <d v="2023-11-18T00:00:00"/>
        <d v="2022-01-03T00:00:00"/>
        <d v="2018-03-06T00:00:00"/>
        <d v="2016-07-05T00:00:00"/>
        <d v="2021-05-14T00:00:00"/>
        <d v="2016-10-30T00:00:00"/>
        <d v="2020-08-31T00:00:00"/>
        <d v="2020-10-22T00:00:00"/>
        <d v="2017-12-12T00:00:00"/>
        <d v="2016-05-13T00:00:00"/>
        <d v="2017-04-15T00:00:00"/>
        <d v="2022-05-20T00:00:00"/>
        <d v="2022-01-20T00:00:00"/>
        <d v="2018-07-26T00:00:00"/>
        <d v="2018-01-13T00:00:00"/>
        <d v="2023-07-07T00:00:00"/>
        <d v="2016-12-26T00:00:00"/>
        <d v="2016-08-10T00:00:00"/>
        <d v="2020-11-29T00:00:00"/>
        <d v="2016-02-26T00:00:00"/>
        <d v="2024-01-14T00:00:00"/>
        <d v="2018-02-19T00:00:00"/>
        <d v="2019-03-04T00:00:00"/>
        <d v="2019-08-11T00:00:00"/>
        <d v="2020-04-30T00:00:00"/>
        <d v="2020-12-08T00:00:00"/>
        <d v="2016-05-27T00:00:00"/>
        <d v="2017-11-12T00:00:00"/>
        <d v="2017-08-19T00:00:00"/>
        <d v="2022-07-16T00:00:00"/>
        <d v="2017-10-09T00:00:00"/>
        <d v="2021-06-02T00:00:00"/>
        <d v="2022-05-07T00:00:00"/>
        <d v="2022-12-18T00:00:00"/>
        <d v="2020-02-03T00:00:00"/>
        <d v="2020-02-07T00:00:00"/>
        <d v="2021-04-02T00:00:00"/>
        <d v="2022-01-06T00:00:00"/>
        <d v="2022-12-12T00:00:00"/>
        <d v="2017-07-26T00:00:00"/>
        <d v="2021-02-01T00:00:00"/>
        <d v="2016-05-14T00:00:00"/>
        <d v="2022-02-08T00:00:00"/>
        <d v="2023-06-07T00:00:00"/>
        <d v="2022-03-20T00:00:00"/>
        <d v="2018-10-23T00:00:00"/>
        <d v="2017-12-14T00:00:00"/>
        <d v="2022-08-28T00:00:00"/>
        <d v="2020-07-03T00:00:00"/>
        <d v="2017-08-30T00:00:00"/>
        <d v="2023-11-14T00:00:00"/>
        <d v="2020-08-30T00:00:00"/>
        <d v="2017-01-08T00:00:00"/>
        <d v="2022-04-19T00:00:00"/>
        <d v="2019-07-03T00:00:00"/>
        <d v="2020-02-14T00:00:00"/>
        <d v="2019-10-23T00:00:00"/>
        <d v="2021-12-12T00:00:00"/>
        <d v="2017-09-29T00:00:00"/>
        <d v="2020-12-15T00:00:00"/>
        <d v="2021-06-16T00:00:00"/>
        <d v="2018-04-17T00:00:00"/>
        <d v="2020-10-29T00:00:00"/>
        <d v="2021-02-26T00:00:00"/>
        <d v="2019-08-23T00:00:00"/>
        <d v="2022-08-09T00:00:00"/>
        <d v="2021-09-21T00:00:00"/>
        <d v="2018-03-19T00:00:00"/>
        <d v="2023-03-18T00:00:00"/>
        <d v="2019-01-30T00:00:00"/>
        <d v="2020-02-19T00:00:00"/>
        <d v="2022-05-30T00:00:00"/>
        <d v="2021-08-28T00:00:00"/>
        <d v="2020-03-07T00:00:00"/>
        <d v="2017-01-22T00:00:00"/>
        <d v="2019-06-24T00:00:00"/>
        <d v="2017-06-07T00:00:00"/>
        <d v="2018-05-27T00:00:00"/>
        <d v="2021-09-10T00:00:00"/>
        <d v="2017-11-09T00:00:00"/>
        <d v="2018-08-16T00:00:00"/>
        <d v="2019-02-28T00:00:00"/>
        <d v="2020-02-29T00:00:00"/>
        <d v="2021-10-03T00:00:00"/>
        <d v="2020-06-11T00:00:00"/>
        <d v="2024-01-06T00:00:00"/>
        <d v="2021-01-11T00:00:00"/>
        <d v="2019-03-26T00:00:00"/>
        <d v="2022-01-04T00:00:00"/>
        <d v="2022-05-26T00:00:00"/>
        <d v="2021-04-09T00:00:00"/>
        <d v="2023-05-15T00:00:00"/>
        <d v="2023-10-19T00:00:00"/>
        <d v="2018-03-28T00:00:00"/>
        <d v="2020-01-02T00:00:00"/>
        <d v="2020-12-06T00:00:00"/>
        <d v="2018-12-28T00:00:00"/>
        <d v="2016-11-23T00:00:00"/>
        <d v="2016-06-22T00:00:00"/>
        <d v="2023-08-14T00:00:00"/>
        <d v="2020-04-17T00:00:00"/>
        <d v="2016-11-10T00:00:00"/>
        <d v="2021-08-06T00:00:00"/>
        <d v="2018-03-30T00:00:00"/>
        <d v="2022-03-02T00:00:00"/>
        <d v="2017-07-22T00:00:00"/>
        <d v="2016-12-19T00:00:00"/>
        <d v="2019-07-22T00:00:00"/>
        <d v="2020-11-07T00:00:00"/>
        <d v="2019-11-18T00:00:00"/>
        <d v="2023-01-04T00:00:00"/>
        <d v="2016-06-17T00:00:00"/>
        <d v="2023-03-02T00:00:00"/>
        <d v="2016-10-25T00:00:00"/>
        <d v="2017-08-11T00:00:00"/>
        <d v="2018-09-17T00:00:00"/>
        <d v="2022-11-25T00:00:00"/>
        <d v="2021-03-27T00:00:00"/>
        <d v="2018-05-31T00:00:00"/>
        <d v="2016-02-03T00:00:00"/>
        <d v="2020-06-28T00:00:00"/>
        <d v="2019-02-19T00:00:00"/>
        <d v="2018-03-26T00:00:00"/>
        <d v="2021-10-28T00:00:00"/>
        <d v="2019-10-09T00:00:00"/>
        <d v="2022-07-18T00:00:00"/>
        <d v="2021-11-17T00:00:00"/>
        <d v="2020-12-11T00:00:00"/>
        <d v="2023-11-30T00:00:00"/>
        <d v="2019-11-03T00:00:00"/>
        <d v="2019-05-04T00:00:00"/>
        <d v="2017-05-14T00:00:00"/>
        <d v="2019-11-19T00:00:00"/>
        <d v="2023-10-22T00:00:00"/>
        <d v="2016-08-03T00:00:00"/>
        <d v="2023-04-28T00:00:00"/>
        <d v="2023-04-25T00:00:00"/>
        <d v="2018-02-02T00:00:00"/>
        <d v="2019-03-11T00:00:00"/>
        <d v="2017-10-27T00:00:00"/>
        <d v="2022-11-07T00:00:00"/>
        <d v="2021-05-09T00:00:00"/>
        <d v="2019-05-21T00:00:00"/>
        <d v="2021-03-21T00:00:00"/>
        <d v="2018-06-23T00:00:00"/>
        <d v="2023-06-13T00:00:00"/>
        <d v="2022-02-21T00:00:00"/>
        <d v="2023-08-18T00:00:00"/>
        <d v="2022-04-28T00:00:00"/>
        <d v="2016-10-26T00:00:00"/>
        <d v="2017-07-08T00:00:00"/>
        <d v="2023-08-28T00:00:00"/>
        <d v="2016-01-15T00:00:00"/>
        <d v="2022-08-29T00:00:00"/>
        <d v="2017-07-27T00:00:00"/>
        <d v="2018-06-24T00:00:00"/>
        <d v="2023-03-20T00:00:00"/>
        <d v="2021-04-23T00:00:00"/>
        <d v="2021-12-10T00:00:00"/>
        <d v="2022-01-02T00:00:00"/>
        <d v="2018-02-09T00:00:00"/>
        <d v="2017-04-25T00:00:00"/>
        <d v="2020-04-08T00:00:00"/>
        <d v="2024-02-07T00:00:00"/>
        <d v="2016-03-07T00:00:00"/>
        <d v="2018-10-03T00:00:00"/>
        <d v="2020-08-16T00:00:00"/>
        <d v="2016-09-04T00:00:00"/>
        <d v="2016-03-09T00:00:00"/>
        <d v="2022-05-03T00:00:00"/>
        <d v="2022-03-13T00:00:00"/>
        <d v="2017-01-25T00:00:00"/>
        <d v="2022-02-02T00:00:00"/>
        <d v="2016-11-11T00:00:00"/>
        <d v="2019-11-17T00:00:00"/>
        <d v="2021-01-19T00:00:00"/>
        <d v="2022-12-08T00:00:00"/>
        <d v="2019-07-21T00:00:00"/>
        <d v="2016-12-23T00:00:00"/>
        <d v="2022-09-15T00:00:00"/>
        <d v="2021-11-04T00:00:00"/>
        <d v="2017-11-15T00:00:00"/>
        <d v="2020-04-05T00:00:00"/>
        <d v="2019-08-06T00:00:00"/>
        <d v="2023-10-17T00:00:00"/>
        <d v="2023-07-19T00:00:00"/>
        <d v="2018-10-13T00:00:00"/>
        <d v="2016-02-13T00:00:00"/>
        <d v="2016-04-10T00:00:00"/>
        <d v="2019-11-06T00:00:00"/>
        <d v="2019-07-30T00:00:00"/>
        <d v="2017-12-15T00:00:00"/>
        <d v="2023-03-08T00:00:00"/>
        <d v="2023-11-26T00:00:00"/>
        <d v="2018-12-10T00:00:00"/>
        <d v="2019-12-12T00:00:00"/>
        <d v="2018-09-04T00:00:00"/>
        <d v="2020-04-20T00:00:00"/>
        <d v="2021-01-21T00:00:00"/>
        <d v="2023-09-05T00:00:00"/>
        <d v="2017-04-12T00:00:00"/>
        <d v="2018-08-28T00:00:00"/>
        <d v="2022-05-24T00:00:00"/>
        <d v="2017-08-22T00:00:00"/>
        <d v="2021-01-25T00:00:00"/>
        <d v="2016-01-11T00:00:00"/>
        <d v="2020-10-25T00:00:00"/>
        <d v="2021-06-10T00:00:00"/>
        <d v="2021-02-12T00:00:00"/>
        <d v="2018-10-22T00:00:00"/>
        <d v="2023-11-22T00:00:00"/>
        <d v="2023-10-20T00:00:00"/>
        <d v="2024-03-12T00:00:00"/>
        <d v="2016-10-07T00:00:00"/>
        <d v="2022-11-28T00:00:00"/>
        <d v="2020-10-24T00:00:00"/>
        <d v="2023-05-20T00:00:00"/>
        <d v="2020-04-29T00:00:00"/>
        <d v="2022-05-17T00:00:00"/>
        <d v="2018-06-02T00:00:00"/>
      </sharedItems>
      <fieldGroup par="17"/>
    </cacheField>
    <cacheField name="Exit_Date" numFmtId="0">
      <sharedItems containsNonDate="0" containsDate="1" containsString="0" containsBlank="1" minDate="2018-03-08T00:00:00" maxDate="2024-12-25T00:00:00" count="59">
        <m/>
        <d v="2022-01-28T00:00:00"/>
        <d v="2018-07-05T00:00:00"/>
        <d v="2023-01-01T00:00:00"/>
        <d v="2021-07-13T00:00:00"/>
        <d v="2022-08-14T00:00:00"/>
        <d v="2021-09-17T00:00:00"/>
        <d v="2020-08-25T00:00:00"/>
        <d v="2023-09-19T00:00:00"/>
        <d v="2021-06-25T00:00:00"/>
        <d v="2020-02-19T00:00:00"/>
        <d v="2024-05-03T00:00:00"/>
        <d v="2018-12-17T00:00:00"/>
        <d v="2020-01-02T00:00:00"/>
        <d v="2023-05-31T00:00:00"/>
        <d v="2023-10-02T00:00:00"/>
        <d v="2022-05-27T00:00:00"/>
        <d v="2019-11-16T00:00:00"/>
        <d v="2019-09-15T00:00:00"/>
        <d v="2024-08-17T00:00:00"/>
        <d v="2021-02-23T00:00:00"/>
        <d v="2019-06-16T00:00:00"/>
        <d v="2024-04-26T00:00:00"/>
        <d v="2020-10-05T00:00:00"/>
        <d v="2020-07-12T00:00:00"/>
        <d v="2024-05-18T00:00:00"/>
        <d v="2024-11-25T00:00:00"/>
        <d v="2018-08-06T00:00:00"/>
        <d v="2024-03-31T00:00:00"/>
        <d v="2020-01-10T00:00:00"/>
        <d v="2022-07-03T00:00:00"/>
        <d v="2022-01-11T00:00:00"/>
        <d v="2023-10-12T00:00:00"/>
        <d v="2023-12-05T00:00:00"/>
        <d v="2019-11-22T00:00:00"/>
        <d v="2020-09-25T00:00:00"/>
        <d v="2024-04-05T00:00:00"/>
        <d v="2024-08-11T00:00:00"/>
        <d v="2019-06-24T00:00:00"/>
        <d v="2021-02-22T00:00:00"/>
        <d v="2020-01-08T00:00:00"/>
        <d v="2024-06-17T00:00:00"/>
        <d v="2019-04-06T00:00:00"/>
        <d v="2020-01-17T00:00:00"/>
        <d v="2019-07-28T00:00:00"/>
        <d v="2021-10-04T00:00:00"/>
        <d v="2023-05-24T00:00:00"/>
        <d v="2024-02-15T00:00:00"/>
        <d v="2024-12-24T00:00:00"/>
        <d v="2023-10-11T00:00:00"/>
        <d v="2023-02-24T00:00:00"/>
        <d v="2020-04-25T00:00:00"/>
        <d v="2024-10-18T00:00:00"/>
        <d v="2018-03-08T00:00:00"/>
        <d v="2020-08-24T00:00:00"/>
        <d v="2023-08-12T00:00:00"/>
        <d v="2023-05-09T00:00:00"/>
        <d v="2023-12-13T00:00:00"/>
        <d v="2019-07-30T00:00:00"/>
      </sharedItems>
    </cacheField>
    <cacheField name="Performance_Rating" numFmtId="0">
      <sharedItems containsSemiMixedTypes="0" containsString="0" containsNumber="1" containsInteger="1" minValue="1" maxValue="5" count="5">
        <n v="5"/>
        <n v="2"/>
        <n v="1"/>
        <n v="4"/>
        <n v="3"/>
      </sharedItems>
    </cacheField>
    <cacheField name="Work_Life_Balance" numFmtId="0">
      <sharedItems count="4">
        <s v="Poor"/>
        <s v="Excellent"/>
        <s v="Average"/>
        <s v="Good"/>
      </sharedItems>
    </cacheField>
    <cacheField name="Attrition" numFmtId="0">
      <sharedItems count="2">
        <s v="No"/>
        <s v="Yes"/>
      </sharedItems>
    </cacheField>
    <cacheField name="Years_or_Service" numFmtId="0">
      <sharedItems containsSemiMixedTypes="0" containsString="0" containsNumber="1" containsInteger="1" minValue="0" maxValue="10"/>
    </cacheField>
    <cacheField name="Age_Group" numFmtId="0">
      <sharedItems count="3">
        <s v="30-40"/>
        <s v="Above 40"/>
        <s v="Under 30"/>
      </sharedItems>
    </cacheField>
    <cacheField name="Join_Year" numFmtId="0">
      <sharedItems containsSemiMixedTypes="0" containsString="0" containsNumber="1" containsInteger="1" minValue="1900" maxValue="2024" count="10">
        <n v="2016"/>
        <n v="2020"/>
        <n v="2021"/>
        <n v="2017"/>
        <n v="2023"/>
        <n v="2019"/>
        <n v="2022"/>
        <n v="2018"/>
        <n v="2024"/>
        <n v="1900" u="1"/>
      </sharedItems>
    </cacheField>
    <cacheField name="Months (Joining_Date)" numFmtId="0" databaseField="0">
      <fieldGroup base="7">
        <rangePr groupBy="months" startDate="2016-01-11T00:00:00" endDate="2024-03-13T00:00:00"/>
        <groupItems count="14">
          <s v="&lt;11-01-2016"/>
          <s v="Jan"/>
          <s v="Feb"/>
          <s v="Mar"/>
          <s v="Apr"/>
          <s v="May"/>
          <s v="Jun"/>
          <s v="Jul"/>
          <s v="Aug"/>
          <s v="Sep"/>
          <s v="Oct"/>
          <s v="Nov"/>
          <s v="Dec"/>
          <s v="&gt;13-03-2024"/>
        </groupItems>
      </fieldGroup>
    </cacheField>
    <cacheField name="Quarters (Joining_Date)" numFmtId="0" databaseField="0">
      <fieldGroup base="7">
        <rangePr groupBy="quarters" startDate="2016-01-11T00:00:00" endDate="2024-03-13T00:00:00"/>
        <groupItems count="6">
          <s v="&lt;11-01-2016"/>
          <s v="Qtr1"/>
          <s v="Qtr2"/>
          <s v="Qtr3"/>
          <s v="Qtr4"/>
          <s v="&gt;13-03-2024"/>
        </groupItems>
      </fieldGroup>
    </cacheField>
    <cacheField name="Years (Joining_Date)" numFmtId="0" databaseField="0">
      <fieldGroup base="7">
        <rangePr groupBy="years" startDate="2016-01-11T00:00:00" endDate="2024-03-13T00:00:00"/>
        <groupItems count="11">
          <s v="&lt;11-01-2016"/>
          <s v="2016"/>
          <s v="2017"/>
          <s v="2018"/>
          <s v="2019"/>
          <s v="2020"/>
          <s v="2021"/>
          <s v="2022"/>
          <s v="2023"/>
          <s v="2024"/>
          <s v="&gt;13-03-2024"/>
        </groupItems>
      </fieldGroup>
    </cacheField>
  </cacheFields>
  <extLst>
    <ext xmlns:x14="http://schemas.microsoft.com/office/spreadsheetml/2009/9/main" uri="{725AE2AE-9491-48be-B2B4-4EB974FC3084}">
      <x14:pivotCacheDefinition pivotCacheId="17265852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x v="0"/>
    <x v="0"/>
    <x v="0"/>
    <x v="0"/>
    <x v="0"/>
    <x v="0"/>
    <x v="0"/>
    <x v="0"/>
    <x v="0"/>
    <x v="0"/>
    <n v="9"/>
    <x v="0"/>
    <x v="0"/>
  </r>
  <r>
    <x v="1"/>
    <x v="0"/>
    <x v="0"/>
    <x v="1"/>
    <x v="0"/>
    <x v="0"/>
    <x v="1"/>
    <x v="1"/>
    <x v="1"/>
    <x v="0"/>
    <x v="1"/>
    <x v="1"/>
    <n v="1"/>
    <x v="0"/>
    <x v="1"/>
  </r>
  <r>
    <x v="2"/>
    <x v="0"/>
    <x v="1"/>
    <x v="2"/>
    <x v="1"/>
    <x v="1"/>
    <x v="2"/>
    <x v="2"/>
    <x v="0"/>
    <x v="1"/>
    <x v="2"/>
    <x v="0"/>
    <n v="5"/>
    <x v="0"/>
    <x v="2"/>
  </r>
  <r>
    <x v="3"/>
    <x v="1"/>
    <x v="2"/>
    <x v="3"/>
    <x v="1"/>
    <x v="1"/>
    <x v="3"/>
    <x v="3"/>
    <x v="2"/>
    <x v="2"/>
    <x v="1"/>
    <x v="1"/>
    <n v="1"/>
    <x v="1"/>
    <x v="3"/>
  </r>
  <r>
    <x v="4"/>
    <x v="1"/>
    <x v="3"/>
    <x v="1"/>
    <x v="1"/>
    <x v="1"/>
    <x v="4"/>
    <x v="4"/>
    <x v="0"/>
    <x v="1"/>
    <x v="0"/>
    <x v="0"/>
    <n v="8"/>
    <x v="2"/>
    <x v="3"/>
  </r>
  <r>
    <x v="5"/>
    <x v="0"/>
    <x v="0"/>
    <x v="0"/>
    <x v="0"/>
    <x v="1"/>
    <x v="5"/>
    <x v="5"/>
    <x v="0"/>
    <x v="3"/>
    <x v="3"/>
    <x v="0"/>
    <n v="2"/>
    <x v="0"/>
    <x v="4"/>
  </r>
  <r>
    <x v="6"/>
    <x v="1"/>
    <x v="4"/>
    <x v="2"/>
    <x v="0"/>
    <x v="0"/>
    <x v="6"/>
    <x v="6"/>
    <x v="0"/>
    <x v="3"/>
    <x v="1"/>
    <x v="0"/>
    <n v="5"/>
    <x v="2"/>
    <x v="1"/>
  </r>
  <r>
    <x v="7"/>
    <x v="0"/>
    <x v="5"/>
    <x v="3"/>
    <x v="2"/>
    <x v="0"/>
    <x v="7"/>
    <x v="7"/>
    <x v="0"/>
    <x v="2"/>
    <x v="3"/>
    <x v="0"/>
    <n v="2"/>
    <x v="1"/>
    <x v="4"/>
  </r>
  <r>
    <x v="8"/>
    <x v="1"/>
    <x v="6"/>
    <x v="4"/>
    <x v="1"/>
    <x v="1"/>
    <x v="8"/>
    <x v="8"/>
    <x v="3"/>
    <x v="3"/>
    <x v="2"/>
    <x v="1"/>
    <n v="4"/>
    <x v="0"/>
    <x v="5"/>
  </r>
  <r>
    <x v="9"/>
    <x v="1"/>
    <x v="7"/>
    <x v="3"/>
    <x v="1"/>
    <x v="1"/>
    <x v="9"/>
    <x v="9"/>
    <x v="4"/>
    <x v="1"/>
    <x v="2"/>
    <x v="1"/>
    <n v="3"/>
    <x v="1"/>
    <x v="3"/>
  </r>
  <r>
    <x v="10"/>
    <x v="0"/>
    <x v="8"/>
    <x v="1"/>
    <x v="0"/>
    <x v="1"/>
    <x v="10"/>
    <x v="10"/>
    <x v="5"/>
    <x v="2"/>
    <x v="1"/>
    <x v="1"/>
    <n v="1"/>
    <x v="0"/>
    <x v="2"/>
  </r>
  <r>
    <x v="11"/>
    <x v="1"/>
    <x v="9"/>
    <x v="4"/>
    <x v="2"/>
    <x v="1"/>
    <x v="11"/>
    <x v="11"/>
    <x v="0"/>
    <x v="4"/>
    <x v="0"/>
    <x v="0"/>
    <n v="3"/>
    <x v="2"/>
    <x v="6"/>
  </r>
  <r>
    <x v="12"/>
    <x v="1"/>
    <x v="10"/>
    <x v="3"/>
    <x v="2"/>
    <x v="0"/>
    <x v="12"/>
    <x v="12"/>
    <x v="6"/>
    <x v="4"/>
    <x v="2"/>
    <x v="1"/>
    <n v="0"/>
    <x v="1"/>
    <x v="1"/>
  </r>
  <r>
    <x v="13"/>
    <x v="0"/>
    <x v="5"/>
    <x v="2"/>
    <x v="1"/>
    <x v="0"/>
    <x v="13"/>
    <x v="13"/>
    <x v="0"/>
    <x v="4"/>
    <x v="3"/>
    <x v="0"/>
    <n v="5"/>
    <x v="1"/>
    <x v="1"/>
  </r>
  <r>
    <x v="14"/>
    <x v="0"/>
    <x v="3"/>
    <x v="2"/>
    <x v="1"/>
    <x v="0"/>
    <x v="14"/>
    <x v="14"/>
    <x v="7"/>
    <x v="0"/>
    <x v="2"/>
    <x v="1"/>
    <n v="4"/>
    <x v="2"/>
    <x v="0"/>
  </r>
  <r>
    <x v="15"/>
    <x v="0"/>
    <x v="11"/>
    <x v="2"/>
    <x v="1"/>
    <x v="0"/>
    <x v="15"/>
    <x v="15"/>
    <x v="0"/>
    <x v="0"/>
    <x v="2"/>
    <x v="0"/>
    <n v="2"/>
    <x v="0"/>
    <x v="4"/>
  </r>
  <r>
    <x v="16"/>
    <x v="1"/>
    <x v="12"/>
    <x v="3"/>
    <x v="1"/>
    <x v="1"/>
    <x v="16"/>
    <x v="16"/>
    <x v="0"/>
    <x v="1"/>
    <x v="2"/>
    <x v="0"/>
    <n v="5"/>
    <x v="1"/>
    <x v="1"/>
  </r>
  <r>
    <x v="17"/>
    <x v="0"/>
    <x v="0"/>
    <x v="0"/>
    <x v="0"/>
    <x v="0"/>
    <x v="17"/>
    <x v="17"/>
    <x v="8"/>
    <x v="2"/>
    <x v="2"/>
    <x v="1"/>
    <n v="3"/>
    <x v="0"/>
    <x v="5"/>
  </r>
  <r>
    <x v="18"/>
    <x v="0"/>
    <x v="10"/>
    <x v="0"/>
    <x v="0"/>
    <x v="1"/>
    <x v="18"/>
    <x v="18"/>
    <x v="0"/>
    <x v="3"/>
    <x v="2"/>
    <x v="0"/>
    <n v="9"/>
    <x v="1"/>
    <x v="0"/>
  </r>
  <r>
    <x v="19"/>
    <x v="1"/>
    <x v="13"/>
    <x v="1"/>
    <x v="1"/>
    <x v="1"/>
    <x v="19"/>
    <x v="19"/>
    <x v="0"/>
    <x v="2"/>
    <x v="0"/>
    <x v="0"/>
    <n v="8"/>
    <x v="0"/>
    <x v="3"/>
  </r>
  <r>
    <x v="20"/>
    <x v="1"/>
    <x v="14"/>
    <x v="4"/>
    <x v="2"/>
    <x v="0"/>
    <x v="20"/>
    <x v="20"/>
    <x v="0"/>
    <x v="4"/>
    <x v="0"/>
    <x v="0"/>
    <n v="6"/>
    <x v="2"/>
    <x v="5"/>
  </r>
  <r>
    <x v="21"/>
    <x v="0"/>
    <x v="7"/>
    <x v="2"/>
    <x v="0"/>
    <x v="1"/>
    <x v="21"/>
    <x v="21"/>
    <x v="9"/>
    <x v="1"/>
    <x v="0"/>
    <x v="1"/>
    <n v="3"/>
    <x v="1"/>
    <x v="7"/>
  </r>
  <r>
    <x v="22"/>
    <x v="0"/>
    <x v="3"/>
    <x v="4"/>
    <x v="2"/>
    <x v="0"/>
    <x v="22"/>
    <x v="22"/>
    <x v="0"/>
    <x v="3"/>
    <x v="1"/>
    <x v="0"/>
    <n v="3"/>
    <x v="2"/>
    <x v="6"/>
  </r>
  <r>
    <x v="23"/>
    <x v="0"/>
    <x v="15"/>
    <x v="2"/>
    <x v="0"/>
    <x v="1"/>
    <x v="23"/>
    <x v="23"/>
    <x v="0"/>
    <x v="3"/>
    <x v="3"/>
    <x v="0"/>
    <n v="5"/>
    <x v="1"/>
    <x v="1"/>
  </r>
  <r>
    <x v="24"/>
    <x v="1"/>
    <x v="8"/>
    <x v="4"/>
    <x v="2"/>
    <x v="1"/>
    <x v="24"/>
    <x v="24"/>
    <x v="0"/>
    <x v="2"/>
    <x v="0"/>
    <x v="0"/>
    <n v="2"/>
    <x v="0"/>
    <x v="4"/>
  </r>
  <r>
    <x v="25"/>
    <x v="0"/>
    <x v="14"/>
    <x v="3"/>
    <x v="1"/>
    <x v="0"/>
    <x v="25"/>
    <x v="25"/>
    <x v="10"/>
    <x v="1"/>
    <x v="0"/>
    <x v="1"/>
    <n v="3"/>
    <x v="2"/>
    <x v="0"/>
  </r>
  <r>
    <x v="26"/>
    <x v="0"/>
    <x v="16"/>
    <x v="1"/>
    <x v="0"/>
    <x v="0"/>
    <x v="26"/>
    <x v="26"/>
    <x v="0"/>
    <x v="0"/>
    <x v="0"/>
    <x v="0"/>
    <n v="9"/>
    <x v="1"/>
    <x v="0"/>
  </r>
  <r>
    <x v="27"/>
    <x v="1"/>
    <x v="11"/>
    <x v="1"/>
    <x v="0"/>
    <x v="1"/>
    <x v="27"/>
    <x v="27"/>
    <x v="0"/>
    <x v="4"/>
    <x v="1"/>
    <x v="0"/>
    <n v="9"/>
    <x v="0"/>
    <x v="0"/>
  </r>
  <r>
    <x v="28"/>
    <x v="1"/>
    <x v="5"/>
    <x v="2"/>
    <x v="0"/>
    <x v="0"/>
    <x v="28"/>
    <x v="28"/>
    <x v="0"/>
    <x v="0"/>
    <x v="0"/>
    <x v="0"/>
    <n v="2"/>
    <x v="1"/>
    <x v="4"/>
  </r>
  <r>
    <x v="29"/>
    <x v="0"/>
    <x v="2"/>
    <x v="0"/>
    <x v="0"/>
    <x v="0"/>
    <x v="29"/>
    <x v="29"/>
    <x v="11"/>
    <x v="4"/>
    <x v="2"/>
    <x v="1"/>
    <n v="2"/>
    <x v="1"/>
    <x v="6"/>
  </r>
  <r>
    <x v="30"/>
    <x v="0"/>
    <x v="17"/>
    <x v="4"/>
    <x v="2"/>
    <x v="0"/>
    <x v="30"/>
    <x v="30"/>
    <x v="0"/>
    <x v="2"/>
    <x v="0"/>
    <x v="0"/>
    <n v="3"/>
    <x v="1"/>
    <x v="6"/>
  </r>
  <r>
    <x v="31"/>
    <x v="0"/>
    <x v="18"/>
    <x v="1"/>
    <x v="0"/>
    <x v="1"/>
    <x v="31"/>
    <x v="31"/>
    <x v="0"/>
    <x v="3"/>
    <x v="3"/>
    <x v="0"/>
    <n v="8"/>
    <x v="1"/>
    <x v="3"/>
  </r>
  <r>
    <x v="32"/>
    <x v="1"/>
    <x v="19"/>
    <x v="0"/>
    <x v="0"/>
    <x v="1"/>
    <x v="32"/>
    <x v="32"/>
    <x v="0"/>
    <x v="1"/>
    <x v="3"/>
    <x v="0"/>
    <n v="9"/>
    <x v="2"/>
    <x v="3"/>
  </r>
  <r>
    <x v="33"/>
    <x v="1"/>
    <x v="9"/>
    <x v="2"/>
    <x v="0"/>
    <x v="0"/>
    <x v="33"/>
    <x v="33"/>
    <x v="0"/>
    <x v="1"/>
    <x v="0"/>
    <x v="0"/>
    <n v="5"/>
    <x v="2"/>
    <x v="1"/>
  </r>
  <r>
    <x v="34"/>
    <x v="1"/>
    <x v="20"/>
    <x v="3"/>
    <x v="2"/>
    <x v="1"/>
    <x v="34"/>
    <x v="34"/>
    <x v="0"/>
    <x v="2"/>
    <x v="3"/>
    <x v="0"/>
    <n v="3"/>
    <x v="0"/>
    <x v="6"/>
  </r>
  <r>
    <x v="35"/>
    <x v="1"/>
    <x v="21"/>
    <x v="2"/>
    <x v="0"/>
    <x v="0"/>
    <x v="35"/>
    <x v="35"/>
    <x v="0"/>
    <x v="1"/>
    <x v="2"/>
    <x v="0"/>
    <n v="2"/>
    <x v="1"/>
    <x v="4"/>
  </r>
  <r>
    <x v="36"/>
    <x v="1"/>
    <x v="13"/>
    <x v="4"/>
    <x v="1"/>
    <x v="0"/>
    <x v="36"/>
    <x v="36"/>
    <x v="12"/>
    <x v="2"/>
    <x v="1"/>
    <x v="1"/>
    <n v="2"/>
    <x v="0"/>
    <x v="0"/>
  </r>
  <r>
    <x v="37"/>
    <x v="1"/>
    <x v="2"/>
    <x v="0"/>
    <x v="1"/>
    <x v="0"/>
    <x v="37"/>
    <x v="37"/>
    <x v="0"/>
    <x v="2"/>
    <x v="2"/>
    <x v="0"/>
    <n v="4"/>
    <x v="1"/>
    <x v="2"/>
  </r>
  <r>
    <x v="38"/>
    <x v="0"/>
    <x v="22"/>
    <x v="4"/>
    <x v="1"/>
    <x v="1"/>
    <x v="38"/>
    <x v="38"/>
    <x v="0"/>
    <x v="0"/>
    <x v="3"/>
    <x v="0"/>
    <n v="6"/>
    <x v="0"/>
    <x v="5"/>
  </r>
  <r>
    <x v="39"/>
    <x v="1"/>
    <x v="23"/>
    <x v="0"/>
    <x v="1"/>
    <x v="0"/>
    <x v="39"/>
    <x v="39"/>
    <x v="0"/>
    <x v="0"/>
    <x v="1"/>
    <x v="0"/>
    <n v="8"/>
    <x v="0"/>
    <x v="3"/>
  </r>
  <r>
    <x v="40"/>
    <x v="1"/>
    <x v="10"/>
    <x v="3"/>
    <x v="2"/>
    <x v="1"/>
    <x v="40"/>
    <x v="40"/>
    <x v="0"/>
    <x v="0"/>
    <x v="2"/>
    <x v="0"/>
    <n v="1"/>
    <x v="1"/>
    <x v="8"/>
  </r>
  <r>
    <x v="41"/>
    <x v="0"/>
    <x v="24"/>
    <x v="3"/>
    <x v="1"/>
    <x v="0"/>
    <x v="41"/>
    <x v="41"/>
    <x v="0"/>
    <x v="3"/>
    <x v="0"/>
    <x v="0"/>
    <n v="9"/>
    <x v="1"/>
    <x v="0"/>
  </r>
  <r>
    <x v="42"/>
    <x v="0"/>
    <x v="17"/>
    <x v="3"/>
    <x v="1"/>
    <x v="1"/>
    <x v="42"/>
    <x v="42"/>
    <x v="0"/>
    <x v="3"/>
    <x v="3"/>
    <x v="0"/>
    <n v="3"/>
    <x v="1"/>
    <x v="6"/>
  </r>
  <r>
    <x v="43"/>
    <x v="0"/>
    <x v="25"/>
    <x v="4"/>
    <x v="1"/>
    <x v="1"/>
    <x v="43"/>
    <x v="43"/>
    <x v="0"/>
    <x v="1"/>
    <x v="3"/>
    <x v="0"/>
    <n v="2"/>
    <x v="0"/>
    <x v="4"/>
  </r>
  <r>
    <x v="44"/>
    <x v="1"/>
    <x v="26"/>
    <x v="4"/>
    <x v="2"/>
    <x v="1"/>
    <x v="44"/>
    <x v="44"/>
    <x v="0"/>
    <x v="0"/>
    <x v="3"/>
    <x v="0"/>
    <n v="3"/>
    <x v="0"/>
    <x v="6"/>
  </r>
  <r>
    <x v="45"/>
    <x v="0"/>
    <x v="10"/>
    <x v="4"/>
    <x v="1"/>
    <x v="0"/>
    <x v="45"/>
    <x v="33"/>
    <x v="0"/>
    <x v="2"/>
    <x v="3"/>
    <x v="0"/>
    <n v="5"/>
    <x v="1"/>
    <x v="1"/>
  </r>
  <r>
    <x v="46"/>
    <x v="1"/>
    <x v="3"/>
    <x v="1"/>
    <x v="0"/>
    <x v="1"/>
    <x v="46"/>
    <x v="45"/>
    <x v="0"/>
    <x v="1"/>
    <x v="2"/>
    <x v="0"/>
    <n v="2"/>
    <x v="2"/>
    <x v="4"/>
  </r>
  <r>
    <x v="47"/>
    <x v="0"/>
    <x v="27"/>
    <x v="0"/>
    <x v="1"/>
    <x v="0"/>
    <x v="47"/>
    <x v="46"/>
    <x v="13"/>
    <x v="3"/>
    <x v="1"/>
    <x v="1"/>
    <n v="3"/>
    <x v="1"/>
    <x v="0"/>
  </r>
  <r>
    <x v="48"/>
    <x v="0"/>
    <x v="28"/>
    <x v="4"/>
    <x v="1"/>
    <x v="0"/>
    <x v="48"/>
    <x v="47"/>
    <x v="14"/>
    <x v="0"/>
    <x v="1"/>
    <x v="1"/>
    <n v="4"/>
    <x v="2"/>
    <x v="7"/>
  </r>
  <r>
    <x v="49"/>
    <x v="1"/>
    <x v="20"/>
    <x v="0"/>
    <x v="1"/>
    <x v="1"/>
    <x v="49"/>
    <x v="48"/>
    <x v="15"/>
    <x v="3"/>
    <x v="1"/>
    <x v="1"/>
    <n v="1"/>
    <x v="0"/>
    <x v="6"/>
  </r>
  <r>
    <x v="50"/>
    <x v="1"/>
    <x v="12"/>
    <x v="1"/>
    <x v="1"/>
    <x v="0"/>
    <x v="50"/>
    <x v="49"/>
    <x v="0"/>
    <x v="4"/>
    <x v="1"/>
    <x v="0"/>
    <n v="5"/>
    <x v="1"/>
    <x v="1"/>
  </r>
  <r>
    <x v="51"/>
    <x v="1"/>
    <x v="13"/>
    <x v="2"/>
    <x v="1"/>
    <x v="1"/>
    <x v="51"/>
    <x v="50"/>
    <x v="0"/>
    <x v="0"/>
    <x v="0"/>
    <x v="0"/>
    <n v="6"/>
    <x v="0"/>
    <x v="5"/>
  </r>
  <r>
    <x v="52"/>
    <x v="0"/>
    <x v="6"/>
    <x v="2"/>
    <x v="0"/>
    <x v="1"/>
    <x v="52"/>
    <x v="51"/>
    <x v="16"/>
    <x v="4"/>
    <x v="1"/>
    <x v="1"/>
    <n v="4"/>
    <x v="0"/>
    <x v="3"/>
  </r>
  <r>
    <x v="53"/>
    <x v="1"/>
    <x v="29"/>
    <x v="4"/>
    <x v="1"/>
    <x v="1"/>
    <x v="53"/>
    <x v="52"/>
    <x v="17"/>
    <x v="4"/>
    <x v="3"/>
    <x v="1"/>
    <n v="3"/>
    <x v="2"/>
    <x v="0"/>
  </r>
  <r>
    <x v="54"/>
    <x v="0"/>
    <x v="30"/>
    <x v="4"/>
    <x v="2"/>
    <x v="1"/>
    <x v="54"/>
    <x v="53"/>
    <x v="0"/>
    <x v="3"/>
    <x v="0"/>
    <x v="0"/>
    <n v="5"/>
    <x v="1"/>
    <x v="1"/>
  </r>
  <r>
    <x v="55"/>
    <x v="1"/>
    <x v="1"/>
    <x v="4"/>
    <x v="1"/>
    <x v="0"/>
    <x v="55"/>
    <x v="54"/>
    <x v="0"/>
    <x v="0"/>
    <x v="0"/>
    <x v="0"/>
    <n v="6"/>
    <x v="0"/>
    <x v="5"/>
  </r>
  <r>
    <x v="56"/>
    <x v="0"/>
    <x v="3"/>
    <x v="4"/>
    <x v="1"/>
    <x v="0"/>
    <x v="56"/>
    <x v="55"/>
    <x v="0"/>
    <x v="3"/>
    <x v="2"/>
    <x v="0"/>
    <n v="3"/>
    <x v="2"/>
    <x v="6"/>
  </r>
  <r>
    <x v="57"/>
    <x v="0"/>
    <x v="27"/>
    <x v="0"/>
    <x v="1"/>
    <x v="1"/>
    <x v="57"/>
    <x v="56"/>
    <x v="0"/>
    <x v="3"/>
    <x v="3"/>
    <x v="0"/>
    <n v="7"/>
    <x v="1"/>
    <x v="7"/>
  </r>
  <r>
    <x v="58"/>
    <x v="1"/>
    <x v="29"/>
    <x v="4"/>
    <x v="2"/>
    <x v="1"/>
    <x v="58"/>
    <x v="57"/>
    <x v="0"/>
    <x v="2"/>
    <x v="0"/>
    <x v="0"/>
    <n v="7"/>
    <x v="2"/>
    <x v="7"/>
  </r>
  <r>
    <x v="59"/>
    <x v="0"/>
    <x v="13"/>
    <x v="0"/>
    <x v="0"/>
    <x v="1"/>
    <x v="59"/>
    <x v="58"/>
    <x v="18"/>
    <x v="2"/>
    <x v="2"/>
    <x v="1"/>
    <n v="0"/>
    <x v="0"/>
    <x v="7"/>
  </r>
  <r>
    <x v="60"/>
    <x v="1"/>
    <x v="1"/>
    <x v="4"/>
    <x v="2"/>
    <x v="0"/>
    <x v="60"/>
    <x v="59"/>
    <x v="0"/>
    <x v="4"/>
    <x v="0"/>
    <x v="0"/>
    <n v="2"/>
    <x v="0"/>
    <x v="4"/>
  </r>
  <r>
    <x v="61"/>
    <x v="1"/>
    <x v="16"/>
    <x v="1"/>
    <x v="0"/>
    <x v="0"/>
    <x v="61"/>
    <x v="60"/>
    <x v="0"/>
    <x v="1"/>
    <x v="0"/>
    <x v="0"/>
    <n v="9"/>
    <x v="1"/>
    <x v="0"/>
  </r>
  <r>
    <x v="62"/>
    <x v="0"/>
    <x v="19"/>
    <x v="3"/>
    <x v="3"/>
    <x v="1"/>
    <x v="62"/>
    <x v="61"/>
    <x v="0"/>
    <x v="4"/>
    <x v="0"/>
    <x v="0"/>
    <n v="2"/>
    <x v="2"/>
    <x v="4"/>
  </r>
  <r>
    <x v="63"/>
    <x v="1"/>
    <x v="30"/>
    <x v="1"/>
    <x v="0"/>
    <x v="1"/>
    <x v="63"/>
    <x v="62"/>
    <x v="0"/>
    <x v="4"/>
    <x v="1"/>
    <x v="0"/>
    <n v="2"/>
    <x v="1"/>
    <x v="4"/>
  </r>
  <r>
    <x v="64"/>
    <x v="1"/>
    <x v="31"/>
    <x v="2"/>
    <x v="1"/>
    <x v="1"/>
    <x v="64"/>
    <x v="63"/>
    <x v="19"/>
    <x v="0"/>
    <x v="3"/>
    <x v="1"/>
    <n v="3"/>
    <x v="1"/>
    <x v="1"/>
  </r>
  <r>
    <x v="65"/>
    <x v="0"/>
    <x v="22"/>
    <x v="3"/>
    <x v="3"/>
    <x v="0"/>
    <x v="65"/>
    <x v="64"/>
    <x v="0"/>
    <x v="3"/>
    <x v="1"/>
    <x v="0"/>
    <n v="7"/>
    <x v="0"/>
    <x v="7"/>
  </r>
  <r>
    <x v="66"/>
    <x v="1"/>
    <x v="23"/>
    <x v="3"/>
    <x v="3"/>
    <x v="0"/>
    <x v="66"/>
    <x v="65"/>
    <x v="0"/>
    <x v="4"/>
    <x v="3"/>
    <x v="0"/>
    <n v="9"/>
    <x v="0"/>
    <x v="0"/>
  </r>
  <r>
    <x v="67"/>
    <x v="1"/>
    <x v="9"/>
    <x v="3"/>
    <x v="1"/>
    <x v="0"/>
    <x v="67"/>
    <x v="66"/>
    <x v="0"/>
    <x v="1"/>
    <x v="1"/>
    <x v="0"/>
    <n v="3"/>
    <x v="2"/>
    <x v="6"/>
  </r>
  <r>
    <x v="68"/>
    <x v="1"/>
    <x v="30"/>
    <x v="4"/>
    <x v="1"/>
    <x v="0"/>
    <x v="68"/>
    <x v="67"/>
    <x v="0"/>
    <x v="4"/>
    <x v="2"/>
    <x v="0"/>
    <n v="3"/>
    <x v="1"/>
    <x v="6"/>
  </r>
  <r>
    <x v="69"/>
    <x v="1"/>
    <x v="31"/>
    <x v="4"/>
    <x v="1"/>
    <x v="1"/>
    <x v="69"/>
    <x v="68"/>
    <x v="0"/>
    <x v="0"/>
    <x v="3"/>
    <x v="0"/>
    <n v="2"/>
    <x v="1"/>
    <x v="4"/>
  </r>
  <r>
    <x v="70"/>
    <x v="1"/>
    <x v="11"/>
    <x v="3"/>
    <x v="2"/>
    <x v="0"/>
    <x v="70"/>
    <x v="69"/>
    <x v="0"/>
    <x v="1"/>
    <x v="3"/>
    <x v="0"/>
    <n v="2"/>
    <x v="0"/>
    <x v="4"/>
  </r>
  <r>
    <x v="71"/>
    <x v="0"/>
    <x v="25"/>
    <x v="0"/>
    <x v="0"/>
    <x v="1"/>
    <x v="71"/>
    <x v="70"/>
    <x v="0"/>
    <x v="0"/>
    <x v="3"/>
    <x v="0"/>
    <n v="4"/>
    <x v="0"/>
    <x v="6"/>
  </r>
  <r>
    <x v="72"/>
    <x v="1"/>
    <x v="23"/>
    <x v="0"/>
    <x v="1"/>
    <x v="0"/>
    <x v="72"/>
    <x v="71"/>
    <x v="0"/>
    <x v="0"/>
    <x v="2"/>
    <x v="0"/>
    <n v="7"/>
    <x v="0"/>
    <x v="7"/>
  </r>
  <r>
    <x v="73"/>
    <x v="1"/>
    <x v="20"/>
    <x v="3"/>
    <x v="1"/>
    <x v="1"/>
    <x v="73"/>
    <x v="72"/>
    <x v="0"/>
    <x v="2"/>
    <x v="3"/>
    <x v="0"/>
    <n v="9"/>
    <x v="0"/>
    <x v="0"/>
  </r>
  <r>
    <x v="74"/>
    <x v="0"/>
    <x v="14"/>
    <x v="4"/>
    <x v="1"/>
    <x v="1"/>
    <x v="74"/>
    <x v="73"/>
    <x v="0"/>
    <x v="2"/>
    <x v="1"/>
    <x v="0"/>
    <n v="4"/>
    <x v="2"/>
    <x v="2"/>
  </r>
  <r>
    <x v="75"/>
    <x v="0"/>
    <x v="8"/>
    <x v="4"/>
    <x v="2"/>
    <x v="1"/>
    <x v="75"/>
    <x v="74"/>
    <x v="0"/>
    <x v="1"/>
    <x v="0"/>
    <x v="0"/>
    <n v="9"/>
    <x v="0"/>
    <x v="0"/>
  </r>
  <r>
    <x v="76"/>
    <x v="0"/>
    <x v="24"/>
    <x v="1"/>
    <x v="1"/>
    <x v="1"/>
    <x v="76"/>
    <x v="75"/>
    <x v="0"/>
    <x v="3"/>
    <x v="3"/>
    <x v="0"/>
    <n v="5"/>
    <x v="1"/>
    <x v="1"/>
  </r>
  <r>
    <x v="77"/>
    <x v="0"/>
    <x v="28"/>
    <x v="1"/>
    <x v="0"/>
    <x v="0"/>
    <x v="77"/>
    <x v="76"/>
    <x v="0"/>
    <x v="2"/>
    <x v="2"/>
    <x v="0"/>
    <n v="5"/>
    <x v="2"/>
    <x v="1"/>
  </r>
  <r>
    <x v="78"/>
    <x v="0"/>
    <x v="9"/>
    <x v="2"/>
    <x v="1"/>
    <x v="1"/>
    <x v="78"/>
    <x v="77"/>
    <x v="0"/>
    <x v="0"/>
    <x v="1"/>
    <x v="0"/>
    <n v="8"/>
    <x v="2"/>
    <x v="3"/>
  </r>
  <r>
    <x v="79"/>
    <x v="1"/>
    <x v="27"/>
    <x v="3"/>
    <x v="2"/>
    <x v="0"/>
    <x v="79"/>
    <x v="78"/>
    <x v="20"/>
    <x v="4"/>
    <x v="2"/>
    <x v="1"/>
    <n v="4"/>
    <x v="1"/>
    <x v="0"/>
  </r>
  <r>
    <x v="80"/>
    <x v="0"/>
    <x v="22"/>
    <x v="4"/>
    <x v="2"/>
    <x v="0"/>
    <x v="80"/>
    <x v="79"/>
    <x v="0"/>
    <x v="1"/>
    <x v="3"/>
    <x v="0"/>
    <n v="8"/>
    <x v="0"/>
    <x v="3"/>
  </r>
  <r>
    <x v="81"/>
    <x v="1"/>
    <x v="32"/>
    <x v="1"/>
    <x v="1"/>
    <x v="1"/>
    <x v="81"/>
    <x v="80"/>
    <x v="0"/>
    <x v="3"/>
    <x v="3"/>
    <x v="0"/>
    <n v="3"/>
    <x v="2"/>
    <x v="6"/>
  </r>
  <r>
    <x v="82"/>
    <x v="0"/>
    <x v="19"/>
    <x v="1"/>
    <x v="1"/>
    <x v="1"/>
    <x v="82"/>
    <x v="81"/>
    <x v="0"/>
    <x v="4"/>
    <x v="0"/>
    <x v="0"/>
    <n v="3"/>
    <x v="2"/>
    <x v="6"/>
  </r>
  <r>
    <x v="83"/>
    <x v="0"/>
    <x v="22"/>
    <x v="0"/>
    <x v="0"/>
    <x v="0"/>
    <x v="83"/>
    <x v="82"/>
    <x v="0"/>
    <x v="0"/>
    <x v="1"/>
    <x v="0"/>
    <n v="7"/>
    <x v="0"/>
    <x v="7"/>
  </r>
  <r>
    <x v="84"/>
    <x v="1"/>
    <x v="30"/>
    <x v="3"/>
    <x v="2"/>
    <x v="1"/>
    <x v="84"/>
    <x v="83"/>
    <x v="0"/>
    <x v="3"/>
    <x v="3"/>
    <x v="0"/>
    <n v="8"/>
    <x v="1"/>
    <x v="7"/>
  </r>
  <r>
    <x v="85"/>
    <x v="1"/>
    <x v="21"/>
    <x v="3"/>
    <x v="1"/>
    <x v="1"/>
    <x v="85"/>
    <x v="84"/>
    <x v="0"/>
    <x v="3"/>
    <x v="0"/>
    <x v="0"/>
    <n v="2"/>
    <x v="1"/>
    <x v="4"/>
  </r>
  <r>
    <x v="86"/>
    <x v="1"/>
    <x v="32"/>
    <x v="4"/>
    <x v="1"/>
    <x v="0"/>
    <x v="86"/>
    <x v="85"/>
    <x v="0"/>
    <x v="0"/>
    <x v="1"/>
    <x v="0"/>
    <n v="9"/>
    <x v="2"/>
    <x v="0"/>
  </r>
  <r>
    <x v="87"/>
    <x v="1"/>
    <x v="12"/>
    <x v="4"/>
    <x v="2"/>
    <x v="0"/>
    <x v="87"/>
    <x v="86"/>
    <x v="21"/>
    <x v="0"/>
    <x v="2"/>
    <x v="1"/>
    <n v="2"/>
    <x v="1"/>
    <x v="0"/>
  </r>
  <r>
    <x v="88"/>
    <x v="1"/>
    <x v="32"/>
    <x v="3"/>
    <x v="2"/>
    <x v="0"/>
    <x v="88"/>
    <x v="87"/>
    <x v="0"/>
    <x v="1"/>
    <x v="3"/>
    <x v="0"/>
    <n v="5"/>
    <x v="2"/>
    <x v="1"/>
  </r>
  <r>
    <x v="89"/>
    <x v="0"/>
    <x v="0"/>
    <x v="1"/>
    <x v="0"/>
    <x v="1"/>
    <x v="89"/>
    <x v="88"/>
    <x v="0"/>
    <x v="2"/>
    <x v="2"/>
    <x v="0"/>
    <n v="9"/>
    <x v="0"/>
    <x v="0"/>
  </r>
  <r>
    <x v="90"/>
    <x v="1"/>
    <x v="21"/>
    <x v="4"/>
    <x v="1"/>
    <x v="1"/>
    <x v="90"/>
    <x v="89"/>
    <x v="0"/>
    <x v="3"/>
    <x v="2"/>
    <x v="0"/>
    <n v="2"/>
    <x v="1"/>
    <x v="8"/>
  </r>
  <r>
    <x v="91"/>
    <x v="0"/>
    <x v="4"/>
    <x v="4"/>
    <x v="1"/>
    <x v="1"/>
    <x v="91"/>
    <x v="90"/>
    <x v="0"/>
    <x v="0"/>
    <x v="3"/>
    <x v="0"/>
    <n v="7"/>
    <x v="2"/>
    <x v="7"/>
  </r>
  <r>
    <x v="92"/>
    <x v="1"/>
    <x v="8"/>
    <x v="0"/>
    <x v="1"/>
    <x v="1"/>
    <x v="92"/>
    <x v="91"/>
    <x v="0"/>
    <x v="4"/>
    <x v="1"/>
    <x v="0"/>
    <n v="6"/>
    <x v="0"/>
    <x v="5"/>
  </r>
  <r>
    <x v="93"/>
    <x v="0"/>
    <x v="15"/>
    <x v="4"/>
    <x v="2"/>
    <x v="1"/>
    <x v="93"/>
    <x v="92"/>
    <x v="0"/>
    <x v="4"/>
    <x v="1"/>
    <x v="0"/>
    <n v="6"/>
    <x v="1"/>
    <x v="5"/>
  </r>
  <r>
    <x v="94"/>
    <x v="0"/>
    <x v="30"/>
    <x v="4"/>
    <x v="2"/>
    <x v="0"/>
    <x v="94"/>
    <x v="93"/>
    <x v="0"/>
    <x v="0"/>
    <x v="3"/>
    <x v="0"/>
    <n v="5"/>
    <x v="1"/>
    <x v="1"/>
  </r>
  <r>
    <x v="95"/>
    <x v="0"/>
    <x v="8"/>
    <x v="0"/>
    <x v="1"/>
    <x v="0"/>
    <x v="95"/>
    <x v="94"/>
    <x v="22"/>
    <x v="3"/>
    <x v="3"/>
    <x v="1"/>
    <n v="3"/>
    <x v="0"/>
    <x v="1"/>
  </r>
  <r>
    <x v="96"/>
    <x v="0"/>
    <x v="18"/>
    <x v="3"/>
    <x v="1"/>
    <x v="1"/>
    <x v="96"/>
    <x v="42"/>
    <x v="0"/>
    <x v="4"/>
    <x v="1"/>
    <x v="0"/>
    <n v="3"/>
    <x v="1"/>
    <x v="6"/>
  </r>
  <r>
    <x v="97"/>
    <x v="0"/>
    <x v="26"/>
    <x v="1"/>
    <x v="0"/>
    <x v="0"/>
    <x v="97"/>
    <x v="95"/>
    <x v="0"/>
    <x v="2"/>
    <x v="0"/>
    <x v="0"/>
    <n v="9"/>
    <x v="0"/>
    <x v="0"/>
  </r>
  <r>
    <x v="98"/>
    <x v="0"/>
    <x v="19"/>
    <x v="4"/>
    <x v="1"/>
    <x v="0"/>
    <x v="98"/>
    <x v="96"/>
    <x v="0"/>
    <x v="4"/>
    <x v="3"/>
    <x v="0"/>
    <n v="8"/>
    <x v="2"/>
    <x v="3"/>
  </r>
  <r>
    <x v="99"/>
    <x v="0"/>
    <x v="1"/>
    <x v="4"/>
    <x v="2"/>
    <x v="0"/>
    <x v="99"/>
    <x v="97"/>
    <x v="23"/>
    <x v="3"/>
    <x v="2"/>
    <x v="1"/>
    <n v="3"/>
    <x v="0"/>
    <x v="3"/>
  </r>
  <r>
    <x v="100"/>
    <x v="1"/>
    <x v="27"/>
    <x v="4"/>
    <x v="1"/>
    <x v="0"/>
    <x v="100"/>
    <x v="98"/>
    <x v="0"/>
    <x v="3"/>
    <x v="3"/>
    <x v="0"/>
    <n v="3"/>
    <x v="1"/>
    <x v="6"/>
  </r>
  <r>
    <x v="101"/>
    <x v="1"/>
    <x v="7"/>
    <x v="1"/>
    <x v="1"/>
    <x v="1"/>
    <x v="101"/>
    <x v="99"/>
    <x v="24"/>
    <x v="4"/>
    <x v="2"/>
    <x v="1"/>
    <n v="2"/>
    <x v="1"/>
    <x v="3"/>
  </r>
  <r>
    <x v="102"/>
    <x v="1"/>
    <x v="26"/>
    <x v="4"/>
    <x v="1"/>
    <x v="0"/>
    <x v="102"/>
    <x v="100"/>
    <x v="25"/>
    <x v="3"/>
    <x v="3"/>
    <x v="1"/>
    <n v="2"/>
    <x v="0"/>
    <x v="2"/>
  </r>
  <r>
    <x v="103"/>
    <x v="0"/>
    <x v="30"/>
    <x v="0"/>
    <x v="1"/>
    <x v="0"/>
    <x v="103"/>
    <x v="101"/>
    <x v="0"/>
    <x v="4"/>
    <x v="2"/>
    <x v="0"/>
    <n v="3"/>
    <x v="1"/>
    <x v="6"/>
  </r>
  <r>
    <x v="104"/>
    <x v="0"/>
    <x v="28"/>
    <x v="2"/>
    <x v="0"/>
    <x v="1"/>
    <x v="104"/>
    <x v="102"/>
    <x v="0"/>
    <x v="3"/>
    <x v="0"/>
    <x v="0"/>
    <n v="3"/>
    <x v="2"/>
    <x v="6"/>
  </r>
  <r>
    <x v="105"/>
    <x v="0"/>
    <x v="26"/>
    <x v="1"/>
    <x v="1"/>
    <x v="1"/>
    <x v="105"/>
    <x v="103"/>
    <x v="0"/>
    <x v="1"/>
    <x v="2"/>
    <x v="0"/>
    <n v="5"/>
    <x v="0"/>
    <x v="1"/>
  </r>
  <r>
    <x v="106"/>
    <x v="1"/>
    <x v="1"/>
    <x v="1"/>
    <x v="1"/>
    <x v="1"/>
    <x v="106"/>
    <x v="104"/>
    <x v="0"/>
    <x v="4"/>
    <x v="3"/>
    <x v="0"/>
    <n v="5"/>
    <x v="0"/>
    <x v="1"/>
  </r>
  <r>
    <x v="107"/>
    <x v="0"/>
    <x v="0"/>
    <x v="0"/>
    <x v="1"/>
    <x v="1"/>
    <x v="107"/>
    <x v="105"/>
    <x v="0"/>
    <x v="3"/>
    <x v="0"/>
    <x v="0"/>
    <n v="4"/>
    <x v="0"/>
    <x v="2"/>
  </r>
  <r>
    <x v="108"/>
    <x v="1"/>
    <x v="15"/>
    <x v="3"/>
    <x v="1"/>
    <x v="1"/>
    <x v="108"/>
    <x v="106"/>
    <x v="26"/>
    <x v="1"/>
    <x v="1"/>
    <x v="1"/>
    <n v="2"/>
    <x v="1"/>
    <x v="6"/>
  </r>
  <r>
    <x v="109"/>
    <x v="1"/>
    <x v="0"/>
    <x v="0"/>
    <x v="0"/>
    <x v="1"/>
    <x v="109"/>
    <x v="107"/>
    <x v="0"/>
    <x v="4"/>
    <x v="1"/>
    <x v="0"/>
    <n v="3"/>
    <x v="0"/>
    <x v="6"/>
  </r>
  <r>
    <x v="110"/>
    <x v="1"/>
    <x v="30"/>
    <x v="0"/>
    <x v="0"/>
    <x v="0"/>
    <x v="110"/>
    <x v="108"/>
    <x v="27"/>
    <x v="0"/>
    <x v="2"/>
    <x v="1"/>
    <n v="1"/>
    <x v="1"/>
    <x v="3"/>
  </r>
  <r>
    <x v="111"/>
    <x v="1"/>
    <x v="8"/>
    <x v="4"/>
    <x v="1"/>
    <x v="0"/>
    <x v="111"/>
    <x v="109"/>
    <x v="0"/>
    <x v="3"/>
    <x v="1"/>
    <x v="0"/>
    <n v="4"/>
    <x v="0"/>
    <x v="2"/>
  </r>
  <r>
    <x v="112"/>
    <x v="0"/>
    <x v="12"/>
    <x v="3"/>
    <x v="3"/>
    <x v="0"/>
    <x v="112"/>
    <x v="110"/>
    <x v="0"/>
    <x v="4"/>
    <x v="0"/>
    <x v="0"/>
    <n v="9"/>
    <x v="1"/>
    <x v="0"/>
  </r>
  <r>
    <x v="113"/>
    <x v="1"/>
    <x v="14"/>
    <x v="3"/>
    <x v="3"/>
    <x v="1"/>
    <x v="113"/>
    <x v="111"/>
    <x v="0"/>
    <x v="2"/>
    <x v="1"/>
    <x v="0"/>
    <n v="3"/>
    <x v="2"/>
    <x v="6"/>
  </r>
  <r>
    <x v="114"/>
    <x v="0"/>
    <x v="14"/>
    <x v="0"/>
    <x v="1"/>
    <x v="0"/>
    <x v="114"/>
    <x v="112"/>
    <x v="0"/>
    <x v="1"/>
    <x v="2"/>
    <x v="0"/>
    <n v="2"/>
    <x v="2"/>
    <x v="4"/>
  </r>
  <r>
    <x v="115"/>
    <x v="0"/>
    <x v="18"/>
    <x v="0"/>
    <x v="0"/>
    <x v="0"/>
    <x v="115"/>
    <x v="113"/>
    <x v="28"/>
    <x v="1"/>
    <x v="2"/>
    <x v="1"/>
    <n v="2"/>
    <x v="1"/>
    <x v="6"/>
  </r>
  <r>
    <x v="116"/>
    <x v="0"/>
    <x v="29"/>
    <x v="1"/>
    <x v="0"/>
    <x v="0"/>
    <x v="116"/>
    <x v="114"/>
    <x v="0"/>
    <x v="1"/>
    <x v="3"/>
    <x v="0"/>
    <n v="7"/>
    <x v="2"/>
    <x v="7"/>
  </r>
  <r>
    <x v="117"/>
    <x v="0"/>
    <x v="21"/>
    <x v="0"/>
    <x v="0"/>
    <x v="0"/>
    <x v="117"/>
    <x v="115"/>
    <x v="0"/>
    <x v="3"/>
    <x v="3"/>
    <x v="0"/>
    <n v="8"/>
    <x v="1"/>
    <x v="3"/>
  </r>
  <r>
    <x v="118"/>
    <x v="0"/>
    <x v="19"/>
    <x v="1"/>
    <x v="1"/>
    <x v="1"/>
    <x v="118"/>
    <x v="116"/>
    <x v="0"/>
    <x v="2"/>
    <x v="0"/>
    <x v="0"/>
    <n v="3"/>
    <x v="2"/>
    <x v="6"/>
  </r>
  <r>
    <x v="119"/>
    <x v="0"/>
    <x v="30"/>
    <x v="4"/>
    <x v="1"/>
    <x v="0"/>
    <x v="119"/>
    <x v="117"/>
    <x v="0"/>
    <x v="2"/>
    <x v="3"/>
    <x v="0"/>
    <n v="5"/>
    <x v="1"/>
    <x v="1"/>
  </r>
  <r>
    <x v="120"/>
    <x v="1"/>
    <x v="15"/>
    <x v="1"/>
    <x v="1"/>
    <x v="1"/>
    <x v="120"/>
    <x v="118"/>
    <x v="29"/>
    <x v="0"/>
    <x v="1"/>
    <x v="1"/>
    <n v="2"/>
    <x v="1"/>
    <x v="3"/>
  </r>
  <r>
    <x v="121"/>
    <x v="0"/>
    <x v="7"/>
    <x v="0"/>
    <x v="1"/>
    <x v="0"/>
    <x v="121"/>
    <x v="119"/>
    <x v="0"/>
    <x v="4"/>
    <x v="1"/>
    <x v="0"/>
    <n v="2"/>
    <x v="1"/>
    <x v="4"/>
  </r>
  <r>
    <x v="122"/>
    <x v="1"/>
    <x v="7"/>
    <x v="4"/>
    <x v="1"/>
    <x v="1"/>
    <x v="122"/>
    <x v="120"/>
    <x v="0"/>
    <x v="1"/>
    <x v="1"/>
    <x v="0"/>
    <n v="5"/>
    <x v="1"/>
    <x v="1"/>
  </r>
  <r>
    <x v="123"/>
    <x v="0"/>
    <x v="7"/>
    <x v="0"/>
    <x v="0"/>
    <x v="1"/>
    <x v="123"/>
    <x v="121"/>
    <x v="0"/>
    <x v="1"/>
    <x v="0"/>
    <x v="0"/>
    <n v="9"/>
    <x v="1"/>
    <x v="3"/>
  </r>
  <r>
    <x v="124"/>
    <x v="0"/>
    <x v="21"/>
    <x v="1"/>
    <x v="1"/>
    <x v="1"/>
    <x v="124"/>
    <x v="122"/>
    <x v="0"/>
    <x v="2"/>
    <x v="3"/>
    <x v="0"/>
    <n v="3"/>
    <x v="1"/>
    <x v="6"/>
  </r>
  <r>
    <x v="125"/>
    <x v="0"/>
    <x v="8"/>
    <x v="1"/>
    <x v="1"/>
    <x v="0"/>
    <x v="125"/>
    <x v="123"/>
    <x v="0"/>
    <x v="2"/>
    <x v="3"/>
    <x v="0"/>
    <n v="6"/>
    <x v="0"/>
    <x v="5"/>
  </r>
  <r>
    <x v="126"/>
    <x v="0"/>
    <x v="7"/>
    <x v="1"/>
    <x v="0"/>
    <x v="1"/>
    <x v="126"/>
    <x v="124"/>
    <x v="30"/>
    <x v="1"/>
    <x v="3"/>
    <x v="1"/>
    <n v="2"/>
    <x v="1"/>
    <x v="1"/>
  </r>
  <r>
    <x v="127"/>
    <x v="0"/>
    <x v="8"/>
    <x v="3"/>
    <x v="1"/>
    <x v="1"/>
    <x v="127"/>
    <x v="125"/>
    <x v="0"/>
    <x v="1"/>
    <x v="0"/>
    <x v="0"/>
    <n v="6"/>
    <x v="0"/>
    <x v="5"/>
  </r>
  <r>
    <x v="128"/>
    <x v="1"/>
    <x v="18"/>
    <x v="0"/>
    <x v="0"/>
    <x v="1"/>
    <x v="128"/>
    <x v="126"/>
    <x v="0"/>
    <x v="4"/>
    <x v="0"/>
    <x v="0"/>
    <n v="4"/>
    <x v="1"/>
    <x v="2"/>
  </r>
  <r>
    <x v="129"/>
    <x v="0"/>
    <x v="3"/>
    <x v="0"/>
    <x v="1"/>
    <x v="1"/>
    <x v="129"/>
    <x v="127"/>
    <x v="31"/>
    <x v="3"/>
    <x v="1"/>
    <x v="1"/>
    <n v="4"/>
    <x v="2"/>
    <x v="3"/>
  </r>
  <r>
    <x v="130"/>
    <x v="0"/>
    <x v="10"/>
    <x v="1"/>
    <x v="0"/>
    <x v="1"/>
    <x v="130"/>
    <x v="128"/>
    <x v="0"/>
    <x v="2"/>
    <x v="3"/>
    <x v="0"/>
    <n v="5"/>
    <x v="1"/>
    <x v="1"/>
  </r>
  <r>
    <x v="131"/>
    <x v="1"/>
    <x v="19"/>
    <x v="1"/>
    <x v="0"/>
    <x v="1"/>
    <x v="131"/>
    <x v="129"/>
    <x v="0"/>
    <x v="0"/>
    <x v="0"/>
    <x v="0"/>
    <n v="4"/>
    <x v="2"/>
    <x v="2"/>
  </r>
  <r>
    <x v="132"/>
    <x v="0"/>
    <x v="20"/>
    <x v="0"/>
    <x v="1"/>
    <x v="1"/>
    <x v="132"/>
    <x v="130"/>
    <x v="0"/>
    <x v="2"/>
    <x v="0"/>
    <x v="0"/>
    <n v="7"/>
    <x v="0"/>
    <x v="7"/>
  </r>
  <r>
    <x v="133"/>
    <x v="0"/>
    <x v="10"/>
    <x v="4"/>
    <x v="1"/>
    <x v="0"/>
    <x v="133"/>
    <x v="131"/>
    <x v="32"/>
    <x v="2"/>
    <x v="1"/>
    <x v="1"/>
    <n v="2"/>
    <x v="1"/>
    <x v="1"/>
  </r>
  <r>
    <x v="134"/>
    <x v="1"/>
    <x v="7"/>
    <x v="0"/>
    <x v="1"/>
    <x v="1"/>
    <x v="134"/>
    <x v="132"/>
    <x v="0"/>
    <x v="2"/>
    <x v="1"/>
    <x v="0"/>
    <n v="4"/>
    <x v="1"/>
    <x v="2"/>
  </r>
  <r>
    <x v="135"/>
    <x v="1"/>
    <x v="33"/>
    <x v="0"/>
    <x v="0"/>
    <x v="1"/>
    <x v="135"/>
    <x v="133"/>
    <x v="33"/>
    <x v="2"/>
    <x v="2"/>
    <x v="1"/>
    <n v="4"/>
    <x v="1"/>
    <x v="5"/>
  </r>
  <r>
    <x v="136"/>
    <x v="0"/>
    <x v="16"/>
    <x v="4"/>
    <x v="1"/>
    <x v="1"/>
    <x v="136"/>
    <x v="134"/>
    <x v="0"/>
    <x v="4"/>
    <x v="2"/>
    <x v="0"/>
    <n v="3"/>
    <x v="1"/>
    <x v="6"/>
  </r>
  <r>
    <x v="137"/>
    <x v="0"/>
    <x v="2"/>
    <x v="0"/>
    <x v="1"/>
    <x v="0"/>
    <x v="137"/>
    <x v="135"/>
    <x v="0"/>
    <x v="2"/>
    <x v="2"/>
    <x v="0"/>
    <n v="4"/>
    <x v="1"/>
    <x v="2"/>
  </r>
  <r>
    <x v="138"/>
    <x v="0"/>
    <x v="23"/>
    <x v="3"/>
    <x v="1"/>
    <x v="1"/>
    <x v="138"/>
    <x v="136"/>
    <x v="34"/>
    <x v="0"/>
    <x v="1"/>
    <x v="1"/>
    <n v="1"/>
    <x v="0"/>
    <x v="7"/>
  </r>
  <r>
    <x v="139"/>
    <x v="1"/>
    <x v="5"/>
    <x v="1"/>
    <x v="0"/>
    <x v="1"/>
    <x v="139"/>
    <x v="137"/>
    <x v="0"/>
    <x v="3"/>
    <x v="1"/>
    <x v="0"/>
    <n v="2"/>
    <x v="1"/>
    <x v="4"/>
  </r>
  <r>
    <x v="140"/>
    <x v="1"/>
    <x v="10"/>
    <x v="3"/>
    <x v="2"/>
    <x v="1"/>
    <x v="140"/>
    <x v="138"/>
    <x v="0"/>
    <x v="3"/>
    <x v="0"/>
    <x v="0"/>
    <n v="6"/>
    <x v="1"/>
    <x v="5"/>
  </r>
  <r>
    <x v="141"/>
    <x v="0"/>
    <x v="3"/>
    <x v="0"/>
    <x v="1"/>
    <x v="1"/>
    <x v="141"/>
    <x v="139"/>
    <x v="0"/>
    <x v="0"/>
    <x v="0"/>
    <x v="0"/>
    <n v="5"/>
    <x v="2"/>
    <x v="1"/>
  </r>
  <r>
    <x v="142"/>
    <x v="1"/>
    <x v="31"/>
    <x v="4"/>
    <x v="2"/>
    <x v="0"/>
    <x v="142"/>
    <x v="140"/>
    <x v="0"/>
    <x v="2"/>
    <x v="3"/>
    <x v="0"/>
    <n v="3"/>
    <x v="1"/>
    <x v="6"/>
  </r>
  <r>
    <x v="143"/>
    <x v="0"/>
    <x v="13"/>
    <x v="0"/>
    <x v="1"/>
    <x v="1"/>
    <x v="143"/>
    <x v="141"/>
    <x v="0"/>
    <x v="0"/>
    <x v="2"/>
    <x v="0"/>
    <n v="4"/>
    <x v="0"/>
    <x v="2"/>
  </r>
  <r>
    <x v="144"/>
    <x v="1"/>
    <x v="21"/>
    <x v="3"/>
    <x v="3"/>
    <x v="0"/>
    <x v="144"/>
    <x v="142"/>
    <x v="0"/>
    <x v="4"/>
    <x v="0"/>
    <x v="0"/>
    <n v="5"/>
    <x v="1"/>
    <x v="1"/>
  </r>
  <r>
    <x v="145"/>
    <x v="1"/>
    <x v="26"/>
    <x v="3"/>
    <x v="3"/>
    <x v="0"/>
    <x v="145"/>
    <x v="143"/>
    <x v="0"/>
    <x v="2"/>
    <x v="2"/>
    <x v="0"/>
    <n v="8"/>
    <x v="0"/>
    <x v="3"/>
  </r>
  <r>
    <x v="146"/>
    <x v="1"/>
    <x v="20"/>
    <x v="3"/>
    <x v="1"/>
    <x v="0"/>
    <x v="146"/>
    <x v="144"/>
    <x v="0"/>
    <x v="0"/>
    <x v="1"/>
    <x v="0"/>
    <n v="6"/>
    <x v="0"/>
    <x v="5"/>
  </r>
  <r>
    <x v="147"/>
    <x v="0"/>
    <x v="7"/>
    <x v="3"/>
    <x v="1"/>
    <x v="1"/>
    <x v="147"/>
    <x v="145"/>
    <x v="0"/>
    <x v="4"/>
    <x v="3"/>
    <x v="0"/>
    <n v="8"/>
    <x v="1"/>
    <x v="3"/>
  </r>
  <r>
    <x v="148"/>
    <x v="1"/>
    <x v="25"/>
    <x v="2"/>
    <x v="0"/>
    <x v="0"/>
    <x v="148"/>
    <x v="146"/>
    <x v="0"/>
    <x v="2"/>
    <x v="3"/>
    <x v="0"/>
    <n v="7"/>
    <x v="0"/>
    <x v="7"/>
  </r>
  <r>
    <x v="149"/>
    <x v="0"/>
    <x v="18"/>
    <x v="0"/>
    <x v="0"/>
    <x v="1"/>
    <x v="149"/>
    <x v="147"/>
    <x v="0"/>
    <x v="1"/>
    <x v="2"/>
    <x v="0"/>
    <n v="4"/>
    <x v="1"/>
    <x v="2"/>
  </r>
  <r>
    <x v="150"/>
    <x v="0"/>
    <x v="21"/>
    <x v="1"/>
    <x v="1"/>
    <x v="0"/>
    <x v="150"/>
    <x v="148"/>
    <x v="0"/>
    <x v="3"/>
    <x v="3"/>
    <x v="0"/>
    <n v="8"/>
    <x v="1"/>
    <x v="3"/>
  </r>
  <r>
    <x v="151"/>
    <x v="1"/>
    <x v="31"/>
    <x v="4"/>
    <x v="2"/>
    <x v="1"/>
    <x v="151"/>
    <x v="149"/>
    <x v="0"/>
    <x v="0"/>
    <x v="1"/>
    <x v="0"/>
    <n v="7"/>
    <x v="1"/>
    <x v="7"/>
  </r>
  <r>
    <x v="152"/>
    <x v="1"/>
    <x v="1"/>
    <x v="4"/>
    <x v="2"/>
    <x v="0"/>
    <x v="152"/>
    <x v="150"/>
    <x v="0"/>
    <x v="4"/>
    <x v="0"/>
    <x v="0"/>
    <n v="6"/>
    <x v="0"/>
    <x v="5"/>
  </r>
  <r>
    <x v="153"/>
    <x v="0"/>
    <x v="24"/>
    <x v="4"/>
    <x v="2"/>
    <x v="1"/>
    <x v="153"/>
    <x v="151"/>
    <x v="0"/>
    <x v="1"/>
    <x v="3"/>
    <x v="0"/>
    <n v="5"/>
    <x v="1"/>
    <x v="1"/>
  </r>
  <r>
    <x v="154"/>
    <x v="0"/>
    <x v="0"/>
    <x v="4"/>
    <x v="1"/>
    <x v="1"/>
    <x v="154"/>
    <x v="152"/>
    <x v="0"/>
    <x v="2"/>
    <x v="1"/>
    <x v="0"/>
    <n v="4"/>
    <x v="0"/>
    <x v="2"/>
  </r>
  <r>
    <x v="155"/>
    <x v="0"/>
    <x v="15"/>
    <x v="0"/>
    <x v="0"/>
    <x v="1"/>
    <x v="155"/>
    <x v="153"/>
    <x v="0"/>
    <x v="2"/>
    <x v="3"/>
    <x v="0"/>
    <n v="5"/>
    <x v="1"/>
    <x v="1"/>
  </r>
  <r>
    <x v="156"/>
    <x v="0"/>
    <x v="20"/>
    <x v="0"/>
    <x v="0"/>
    <x v="1"/>
    <x v="156"/>
    <x v="154"/>
    <x v="0"/>
    <x v="3"/>
    <x v="2"/>
    <x v="0"/>
    <n v="2"/>
    <x v="0"/>
    <x v="8"/>
  </r>
  <r>
    <x v="157"/>
    <x v="0"/>
    <x v="29"/>
    <x v="4"/>
    <x v="1"/>
    <x v="0"/>
    <x v="157"/>
    <x v="155"/>
    <x v="0"/>
    <x v="1"/>
    <x v="1"/>
    <x v="0"/>
    <n v="5"/>
    <x v="2"/>
    <x v="2"/>
  </r>
  <r>
    <x v="158"/>
    <x v="0"/>
    <x v="13"/>
    <x v="0"/>
    <x v="1"/>
    <x v="1"/>
    <x v="158"/>
    <x v="156"/>
    <x v="35"/>
    <x v="2"/>
    <x v="1"/>
    <x v="1"/>
    <n v="1"/>
    <x v="0"/>
    <x v="5"/>
  </r>
  <r>
    <x v="159"/>
    <x v="0"/>
    <x v="8"/>
    <x v="1"/>
    <x v="1"/>
    <x v="1"/>
    <x v="159"/>
    <x v="157"/>
    <x v="0"/>
    <x v="0"/>
    <x v="3"/>
    <x v="0"/>
    <n v="4"/>
    <x v="0"/>
    <x v="6"/>
  </r>
  <r>
    <x v="160"/>
    <x v="0"/>
    <x v="24"/>
    <x v="2"/>
    <x v="1"/>
    <x v="0"/>
    <x v="160"/>
    <x v="158"/>
    <x v="0"/>
    <x v="0"/>
    <x v="0"/>
    <x v="0"/>
    <n v="3"/>
    <x v="1"/>
    <x v="6"/>
  </r>
  <r>
    <x v="161"/>
    <x v="1"/>
    <x v="11"/>
    <x v="4"/>
    <x v="2"/>
    <x v="1"/>
    <x v="161"/>
    <x v="159"/>
    <x v="36"/>
    <x v="2"/>
    <x v="3"/>
    <x v="1"/>
    <n v="2"/>
    <x v="0"/>
    <x v="2"/>
  </r>
  <r>
    <x v="162"/>
    <x v="1"/>
    <x v="20"/>
    <x v="2"/>
    <x v="0"/>
    <x v="1"/>
    <x v="162"/>
    <x v="160"/>
    <x v="0"/>
    <x v="4"/>
    <x v="2"/>
    <x v="0"/>
    <n v="2"/>
    <x v="0"/>
    <x v="4"/>
  </r>
  <r>
    <x v="163"/>
    <x v="0"/>
    <x v="20"/>
    <x v="4"/>
    <x v="2"/>
    <x v="1"/>
    <x v="163"/>
    <x v="161"/>
    <x v="0"/>
    <x v="4"/>
    <x v="2"/>
    <x v="0"/>
    <n v="2"/>
    <x v="0"/>
    <x v="4"/>
  </r>
  <r>
    <x v="164"/>
    <x v="1"/>
    <x v="17"/>
    <x v="0"/>
    <x v="1"/>
    <x v="1"/>
    <x v="164"/>
    <x v="162"/>
    <x v="0"/>
    <x v="2"/>
    <x v="2"/>
    <x v="0"/>
    <n v="7"/>
    <x v="1"/>
    <x v="7"/>
  </r>
  <r>
    <x v="165"/>
    <x v="0"/>
    <x v="18"/>
    <x v="3"/>
    <x v="3"/>
    <x v="0"/>
    <x v="165"/>
    <x v="163"/>
    <x v="0"/>
    <x v="4"/>
    <x v="1"/>
    <x v="0"/>
    <n v="6"/>
    <x v="1"/>
    <x v="1"/>
  </r>
  <r>
    <x v="166"/>
    <x v="1"/>
    <x v="18"/>
    <x v="4"/>
    <x v="2"/>
    <x v="1"/>
    <x v="166"/>
    <x v="164"/>
    <x v="0"/>
    <x v="3"/>
    <x v="3"/>
    <x v="0"/>
    <n v="5"/>
    <x v="1"/>
    <x v="1"/>
  </r>
  <r>
    <x v="167"/>
    <x v="1"/>
    <x v="3"/>
    <x v="1"/>
    <x v="1"/>
    <x v="0"/>
    <x v="167"/>
    <x v="165"/>
    <x v="0"/>
    <x v="4"/>
    <x v="3"/>
    <x v="0"/>
    <n v="7"/>
    <x v="2"/>
    <x v="7"/>
  </r>
  <r>
    <x v="168"/>
    <x v="1"/>
    <x v="17"/>
    <x v="0"/>
    <x v="1"/>
    <x v="1"/>
    <x v="168"/>
    <x v="166"/>
    <x v="0"/>
    <x v="3"/>
    <x v="3"/>
    <x v="0"/>
    <n v="9"/>
    <x v="1"/>
    <x v="0"/>
  </r>
  <r>
    <x v="169"/>
    <x v="1"/>
    <x v="7"/>
    <x v="4"/>
    <x v="1"/>
    <x v="0"/>
    <x v="169"/>
    <x v="167"/>
    <x v="0"/>
    <x v="3"/>
    <x v="3"/>
    <x v="0"/>
    <n v="9"/>
    <x v="1"/>
    <x v="0"/>
  </r>
  <r>
    <x v="170"/>
    <x v="0"/>
    <x v="12"/>
    <x v="1"/>
    <x v="0"/>
    <x v="0"/>
    <x v="170"/>
    <x v="168"/>
    <x v="37"/>
    <x v="1"/>
    <x v="3"/>
    <x v="1"/>
    <n v="0"/>
    <x v="1"/>
    <x v="4"/>
  </r>
  <r>
    <x v="171"/>
    <x v="0"/>
    <x v="8"/>
    <x v="3"/>
    <x v="1"/>
    <x v="1"/>
    <x v="171"/>
    <x v="169"/>
    <x v="0"/>
    <x v="4"/>
    <x v="3"/>
    <x v="0"/>
    <n v="5"/>
    <x v="0"/>
    <x v="1"/>
  </r>
  <r>
    <x v="172"/>
    <x v="1"/>
    <x v="16"/>
    <x v="4"/>
    <x v="1"/>
    <x v="1"/>
    <x v="172"/>
    <x v="170"/>
    <x v="0"/>
    <x v="2"/>
    <x v="0"/>
    <x v="0"/>
    <n v="9"/>
    <x v="1"/>
    <x v="0"/>
  </r>
  <r>
    <x v="173"/>
    <x v="0"/>
    <x v="11"/>
    <x v="2"/>
    <x v="1"/>
    <x v="1"/>
    <x v="173"/>
    <x v="171"/>
    <x v="0"/>
    <x v="0"/>
    <x v="3"/>
    <x v="0"/>
    <n v="4"/>
    <x v="0"/>
    <x v="2"/>
  </r>
  <r>
    <x v="174"/>
    <x v="1"/>
    <x v="23"/>
    <x v="4"/>
    <x v="1"/>
    <x v="0"/>
    <x v="174"/>
    <x v="172"/>
    <x v="38"/>
    <x v="4"/>
    <x v="3"/>
    <x v="1"/>
    <n v="1"/>
    <x v="0"/>
    <x v="7"/>
  </r>
  <r>
    <x v="175"/>
    <x v="1"/>
    <x v="1"/>
    <x v="0"/>
    <x v="0"/>
    <x v="1"/>
    <x v="175"/>
    <x v="173"/>
    <x v="0"/>
    <x v="1"/>
    <x v="0"/>
    <x v="0"/>
    <n v="3"/>
    <x v="0"/>
    <x v="6"/>
  </r>
  <r>
    <x v="176"/>
    <x v="0"/>
    <x v="33"/>
    <x v="2"/>
    <x v="1"/>
    <x v="1"/>
    <x v="176"/>
    <x v="174"/>
    <x v="39"/>
    <x v="0"/>
    <x v="2"/>
    <x v="1"/>
    <n v="3"/>
    <x v="1"/>
    <x v="3"/>
  </r>
  <r>
    <x v="177"/>
    <x v="1"/>
    <x v="24"/>
    <x v="1"/>
    <x v="1"/>
    <x v="1"/>
    <x v="177"/>
    <x v="175"/>
    <x v="40"/>
    <x v="0"/>
    <x v="0"/>
    <x v="1"/>
    <n v="3"/>
    <x v="1"/>
    <x v="0"/>
  </r>
  <r>
    <x v="178"/>
    <x v="1"/>
    <x v="27"/>
    <x v="2"/>
    <x v="1"/>
    <x v="0"/>
    <x v="178"/>
    <x v="176"/>
    <x v="0"/>
    <x v="0"/>
    <x v="2"/>
    <x v="0"/>
    <n v="6"/>
    <x v="1"/>
    <x v="5"/>
  </r>
  <r>
    <x v="179"/>
    <x v="0"/>
    <x v="32"/>
    <x v="2"/>
    <x v="0"/>
    <x v="1"/>
    <x v="179"/>
    <x v="177"/>
    <x v="0"/>
    <x v="1"/>
    <x v="3"/>
    <x v="0"/>
    <n v="5"/>
    <x v="2"/>
    <x v="1"/>
  </r>
  <r>
    <x v="180"/>
    <x v="1"/>
    <x v="3"/>
    <x v="2"/>
    <x v="1"/>
    <x v="0"/>
    <x v="180"/>
    <x v="178"/>
    <x v="0"/>
    <x v="0"/>
    <x v="3"/>
    <x v="0"/>
    <n v="6"/>
    <x v="2"/>
    <x v="5"/>
  </r>
  <r>
    <x v="181"/>
    <x v="0"/>
    <x v="10"/>
    <x v="2"/>
    <x v="0"/>
    <x v="0"/>
    <x v="181"/>
    <x v="179"/>
    <x v="0"/>
    <x v="0"/>
    <x v="3"/>
    <x v="0"/>
    <n v="3"/>
    <x v="1"/>
    <x v="4"/>
  </r>
  <r>
    <x v="182"/>
    <x v="0"/>
    <x v="3"/>
    <x v="1"/>
    <x v="0"/>
    <x v="1"/>
    <x v="182"/>
    <x v="180"/>
    <x v="0"/>
    <x v="1"/>
    <x v="1"/>
    <x v="0"/>
    <n v="9"/>
    <x v="2"/>
    <x v="0"/>
  </r>
  <r>
    <x v="183"/>
    <x v="1"/>
    <x v="17"/>
    <x v="1"/>
    <x v="1"/>
    <x v="0"/>
    <x v="183"/>
    <x v="181"/>
    <x v="0"/>
    <x v="3"/>
    <x v="3"/>
    <x v="0"/>
    <n v="2"/>
    <x v="1"/>
    <x v="4"/>
  </r>
  <r>
    <x v="184"/>
    <x v="0"/>
    <x v="12"/>
    <x v="4"/>
    <x v="1"/>
    <x v="1"/>
    <x v="184"/>
    <x v="182"/>
    <x v="0"/>
    <x v="1"/>
    <x v="3"/>
    <x v="0"/>
    <n v="9"/>
    <x v="1"/>
    <x v="0"/>
  </r>
  <r>
    <x v="185"/>
    <x v="1"/>
    <x v="2"/>
    <x v="1"/>
    <x v="1"/>
    <x v="0"/>
    <x v="185"/>
    <x v="183"/>
    <x v="0"/>
    <x v="4"/>
    <x v="0"/>
    <x v="0"/>
    <n v="8"/>
    <x v="1"/>
    <x v="3"/>
  </r>
  <r>
    <x v="186"/>
    <x v="1"/>
    <x v="12"/>
    <x v="3"/>
    <x v="2"/>
    <x v="0"/>
    <x v="186"/>
    <x v="184"/>
    <x v="0"/>
    <x v="2"/>
    <x v="3"/>
    <x v="0"/>
    <n v="7"/>
    <x v="1"/>
    <x v="7"/>
  </r>
  <r>
    <x v="187"/>
    <x v="0"/>
    <x v="5"/>
    <x v="4"/>
    <x v="1"/>
    <x v="0"/>
    <x v="187"/>
    <x v="185"/>
    <x v="0"/>
    <x v="1"/>
    <x v="1"/>
    <x v="0"/>
    <n v="3"/>
    <x v="1"/>
    <x v="6"/>
  </r>
  <r>
    <x v="188"/>
    <x v="1"/>
    <x v="30"/>
    <x v="1"/>
    <x v="0"/>
    <x v="0"/>
    <x v="188"/>
    <x v="186"/>
    <x v="0"/>
    <x v="3"/>
    <x v="1"/>
    <x v="0"/>
    <n v="4"/>
    <x v="1"/>
    <x v="2"/>
  </r>
  <r>
    <x v="189"/>
    <x v="0"/>
    <x v="14"/>
    <x v="2"/>
    <x v="1"/>
    <x v="1"/>
    <x v="189"/>
    <x v="187"/>
    <x v="0"/>
    <x v="3"/>
    <x v="3"/>
    <x v="0"/>
    <n v="7"/>
    <x v="2"/>
    <x v="7"/>
  </r>
  <r>
    <x v="190"/>
    <x v="1"/>
    <x v="20"/>
    <x v="1"/>
    <x v="1"/>
    <x v="1"/>
    <x v="190"/>
    <x v="188"/>
    <x v="0"/>
    <x v="3"/>
    <x v="3"/>
    <x v="0"/>
    <n v="9"/>
    <x v="0"/>
    <x v="0"/>
  </r>
  <r>
    <x v="191"/>
    <x v="0"/>
    <x v="33"/>
    <x v="0"/>
    <x v="1"/>
    <x v="0"/>
    <x v="191"/>
    <x v="189"/>
    <x v="41"/>
    <x v="0"/>
    <x v="1"/>
    <x v="1"/>
    <n v="3"/>
    <x v="1"/>
    <x v="1"/>
  </r>
  <r>
    <x v="192"/>
    <x v="0"/>
    <x v="20"/>
    <x v="1"/>
    <x v="0"/>
    <x v="1"/>
    <x v="192"/>
    <x v="190"/>
    <x v="0"/>
    <x v="4"/>
    <x v="3"/>
    <x v="0"/>
    <n v="6"/>
    <x v="0"/>
    <x v="5"/>
  </r>
  <r>
    <x v="193"/>
    <x v="1"/>
    <x v="10"/>
    <x v="2"/>
    <x v="0"/>
    <x v="0"/>
    <x v="193"/>
    <x v="191"/>
    <x v="0"/>
    <x v="1"/>
    <x v="3"/>
    <x v="0"/>
    <n v="7"/>
    <x v="1"/>
    <x v="7"/>
  </r>
  <r>
    <x v="194"/>
    <x v="0"/>
    <x v="5"/>
    <x v="4"/>
    <x v="1"/>
    <x v="0"/>
    <x v="194"/>
    <x v="192"/>
    <x v="0"/>
    <x v="0"/>
    <x v="3"/>
    <x v="0"/>
    <n v="4"/>
    <x v="1"/>
    <x v="2"/>
  </r>
  <r>
    <x v="195"/>
    <x v="1"/>
    <x v="17"/>
    <x v="1"/>
    <x v="1"/>
    <x v="0"/>
    <x v="195"/>
    <x v="193"/>
    <x v="0"/>
    <x v="4"/>
    <x v="0"/>
    <x v="0"/>
    <n v="6"/>
    <x v="1"/>
    <x v="5"/>
  </r>
  <r>
    <x v="196"/>
    <x v="0"/>
    <x v="31"/>
    <x v="4"/>
    <x v="1"/>
    <x v="0"/>
    <x v="196"/>
    <x v="194"/>
    <x v="0"/>
    <x v="2"/>
    <x v="1"/>
    <x v="0"/>
    <n v="3"/>
    <x v="1"/>
    <x v="6"/>
  </r>
  <r>
    <x v="197"/>
    <x v="1"/>
    <x v="8"/>
    <x v="2"/>
    <x v="0"/>
    <x v="0"/>
    <x v="197"/>
    <x v="195"/>
    <x v="0"/>
    <x v="2"/>
    <x v="2"/>
    <x v="0"/>
    <n v="4"/>
    <x v="0"/>
    <x v="2"/>
  </r>
  <r>
    <x v="198"/>
    <x v="0"/>
    <x v="21"/>
    <x v="0"/>
    <x v="0"/>
    <x v="1"/>
    <x v="198"/>
    <x v="196"/>
    <x v="0"/>
    <x v="0"/>
    <x v="1"/>
    <x v="0"/>
    <n v="5"/>
    <x v="1"/>
    <x v="1"/>
  </r>
  <r>
    <x v="199"/>
    <x v="1"/>
    <x v="31"/>
    <x v="0"/>
    <x v="1"/>
    <x v="1"/>
    <x v="199"/>
    <x v="197"/>
    <x v="0"/>
    <x v="1"/>
    <x v="1"/>
    <x v="0"/>
    <n v="2"/>
    <x v="1"/>
    <x v="4"/>
  </r>
  <r>
    <x v="200"/>
    <x v="1"/>
    <x v="31"/>
    <x v="1"/>
    <x v="0"/>
    <x v="0"/>
    <x v="200"/>
    <x v="198"/>
    <x v="0"/>
    <x v="0"/>
    <x v="3"/>
    <x v="0"/>
    <n v="6"/>
    <x v="1"/>
    <x v="5"/>
  </r>
  <r>
    <x v="201"/>
    <x v="0"/>
    <x v="30"/>
    <x v="2"/>
    <x v="1"/>
    <x v="1"/>
    <x v="201"/>
    <x v="199"/>
    <x v="0"/>
    <x v="0"/>
    <x v="3"/>
    <x v="0"/>
    <n v="6"/>
    <x v="1"/>
    <x v="5"/>
  </r>
  <r>
    <x v="202"/>
    <x v="1"/>
    <x v="16"/>
    <x v="3"/>
    <x v="3"/>
    <x v="0"/>
    <x v="202"/>
    <x v="200"/>
    <x v="0"/>
    <x v="2"/>
    <x v="3"/>
    <x v="0"/>
    <n v="8"/>
    <x v="1"/>
    <x v="3"/>
  </r>
  <r>
    <x v="203"/>
    <x v="1"/>
    <x v="31"/>
    <x v="0"/>
    <x v="0"/>
    <x v="0"/>
    <x v="203"/>
    <x v="201"/>
    <x v="0"/>
    <x v="0"/>
    <x v="3"/>
    <x v="0"/>
    <n v="6"/>
    <x v="1"/>
    <x v="5"/>
  </r>
  <r>
    <x v="204"/>
    <x v="0"/>
    <x v="13"/>
    <x v="1"/>
    <x v="0"/>
    <x v="0"/>
    <x v="204"/>
    <x v="202"/>
    <x v="0"/>
    <x v="0"/>
    <x v="2"/>
    <x v="0"/>
    <n v="2"/>
    <x v="0"/>
    <x v="4"/>
  </r>
  <r>
    <x v="205"/>
    <x v="1"/>
    <x v="28"/>
    <x v="2"/>
    <x v="0"/>
    <x v="0"/>
    <x v="205"/>
    <x v="203"/>
    <x v="42"/>
    <x v="0"/>
    <x v="2"/>
    <x v="1"/>
    <n v="2"/>
    <x v="2"/>
    <x v="0"/>
  </r>
  <r>
    <x v="206"/>
    <x v="1"/>
    <x v="31"/>
    <x v="4"/>
    <x v="2"/>
    <x v="1"/>
    <x v="206"/>
    <x v="204"/>
    <x v="0"/>
    <x v="4"/>
    <x v="0"/>
    <x v="0"/>
    <n v="2"/>
    <x v="1"/>
    <x v="4"/>
  </r>
  <r>
    <x v="207"/>
    <x v="0"/>
    <x v="23"/>
    <x v="0"/>
    <x v="1"/>
    <x v="0"/>
    <x v="207"/>
    <x v="205"/>
    <x v="0"/>
    <x v="2"/>
    <x v="1"/>
    <x v="0"/>
    <n v="2"/>
    <x v="0"/>
    <x v="4"/>
  </r>
  <r>
    <x v="208"/>
    <x v="1"/>
    <x v="19"/>
    <x v="4"/>
    <x v="2"/>
    <x v="1"/>
    <x v="208"/>
    <x v="206"/>
    <x v="0"/>
    <x v="0"/>
    <x v="0"/>
    <x v="0"/>
    <n v="7"/>
    <x v="2"/>
    <x v="7"/>
  </r>
  <r>
    <x v="209"/>
    <x v="1"/>
    <x v="20"/>
    <x v="3"/>
    <x v="1"/>
    <x v="1"/>
    <x v="209"/>
    <x v="207"/>
    <x v="0"/>
    <x v="1"/>
    <x v="0"/>
    <x v="0"/>
    <n v="6"/>
    <x v="0"/>
    <x v="5"/>
  </r>
  <r>
    <x v="210"/>
    <x v="1"/>
    <x v="23"/>
    <x v="3"/>
    <x v="2"/>
    <x v="1"/>
    <x v="210"/>
    <x v="208"/>
    <x v="0"/>
    <x v="4"/>
    <x v="2"/>
    <x v="0"/>
    <n v="8"/>
    <x v="0"/>
    <x v="3"/>
  </r>
  <r>
    <x v="211"/>
    <x v="1"/>
    <x v="7"/>
    <x v="2"/>
    <x v="1"/>
    <x v="0"/>
    <x v="211"/>
    <x v="209"/>
    <x v="0"/>
    <x v="2"/>
    <x v="2"/>
    <x v="0"/>
    <n v="3"/>
    <x v="1"/>
    <x v="6"/>
  </r>
  <r>
    <x v="212"/>
    <x v="0"/>
    <x v="9"/>
    <x v="2"/>
    <x v="1"/>
    <x v="1"/>
    <x v="212"/>
    <x v="210"/>
    <x v="0"/>
    <x v="3"/>
    <x v="3"/>
    <x v="0"/>
    <n v="4"/>
    <x v="2"/>
    <x v="2"/>
  </r>
  <r>
    <x v="213"/>
    <x v="0"/>
    <x v="11"/>
    <x v="3"/>
    <x v="1"/>
    <x v="1"/>
    <x v="213"/>
    <x v="211"/>
    <x v="0"/>
    <x v="1"/>
    <x v="0"/>
    <x v="0"/>
    <n v="6"/>
    <x v="0"/>
    <x v="5"/>
  </r>
  <r>
    <x v="214"/>
    <x v="1"/>
    <x v="10"/>
    <x v="0"/>
    <x v="1"/>
    <x v="0"/>
    <x v="214"/>
    <x v="212"/>
    <x v="0"/>
    <x v="4"/>
    <x v="3"/>
    <x v="0"/>
    <n v="4"/>
    <x v="1"/>
    <x v="2"/>
  </r>
  <r>
    <x v="215"/>
    <x v="1"/>
    <x v="8"/>
    <x v="1"/>
    <x v="1"/>
    <x v="1"/>
    <x v="215"/>
    <x v="213"/>
    <x v="43"/>
    <x v="0"/>
    <x v="1"/>
    <x v="1"/>
    <n v="1"/>
    <x v="0"/>
    <x v="7"/>
  </r>
  <r>
    <x v="216"/>
    <x v="0"/>
    <x v="3"/>
    <x v="1"/>
    <x v="1"/>
    <x v="1"/>
    <x v="216"/>
    <x v="214"/>
    <x v="0"/>
    <x v="0"/>
    <x v="0"/>
    <x v="0"/>
    <n v="2"/>
    <x v="2"/>
    <x v="4"/>
  </r>
  <r>
    <x v="217"/>
    <x v="0"/>
    <x v="8"/>
    <x v="0"/>
    <x v="0"/>
    <x v="1"/>
    <x v="217"/>
    <x v="215"/>
    <x v="0"/>
    <x v="0"/>
    <x v="1"/>
    <x v="0"/>
    <n v="3"/>
    <x v="0"/>
    <x v="6"/>
  </r>
  <r>
    <x v="218"/>
    <x v="1"/>
    <x v="3"/>
    <x v="0"/>
    <x v="1"/>
    <x v="0"/>
    <x v="218"/>
    <x v="216"/>
    <x v="0"/>
    <x v="1"/>
    <x v="1"/>
    <x v="0"/>
    <n v="2"/>
    <x v="2"/>
    <x v="4"/>
  </r>
  <r>
    <x v="219"/>
    <x v="1"/>
    <x v="29"/>
    <x v="4"/>
    <x v="1"/>
    <x v="1"/>
    <x v="219"/>
    <x v="217"/>
    <x v="0"/>
    <x v="2"/>
    <x v="2"/>
    <x v="0"/>
    <n v="3"/>
    <x v="2"/>
    <x v="6"/>
  </r>
  <r>
    <x v="220"/>
    <x v="0"/>
    <x v="14"/>
    <x v="1"/>
    <x v="0"/>
    <x v="1"/>
    <x v="220"/>
    <x v="218"/>
    <x v="44"/>
    <x v="4"/>
    <x v="1"/>
    <x v="1"/>
    <n v="2"/>
    <x v="2"/>
    <x v="0"/>
  </r>
  <r>
    <x v="221"/>
    <x v="1"/>
    <x v="33"/>
    <x v="2"/>
    <x v="1"/>
    <x v="1"/>
    <x v="221"/>
    <x v="219"/>
    <x v="0"/>
    <x v="3"/>
    <x v="1"/>
    <x v="0"/>
    <n v="8"/>
    <x v="1"/>
    <x v="3"/>
  </r>
  <r>
    <x v="222"/>
    <x v="0"/>
    <x v="2"/>
    <x v="0"/>
    <x v="0"/>
    <x v="0"/>
    <x v="222"/>
    <x v="220"/>
    <x v="0"/>
    <x v="3"/>
    <x v="2"/>
    <x v="0"/>
    <n v="2"/>
    <x v="1"/>
    <x v="4"/>
  </r>
  <r>
    <x v="223"/>
    <x v="1"/>
    <x v="27"/>
    <x v="2"/>
    <x v="1"/>
    <x v="1"/>
    <x v="223"/>
    <x v="221"/>
    <x v="0"/>
    <x v="1"/>
    <x v="2"/>
    <x v="0"/>
    <n v="10"/>
    <x v="1"/>
    <x v="0"/>
  </r>
  <r>
    <x v="224"/>
    <x v="0"/>
    <x v="19"/>
    <x v="4"/>
    <x v="1"/>
    <x v="0"/>
    <x v="224"/>
    <x v="178"/>
    <x v="45"/>
    <x v="1"/>
    <x v="0"/>
    <x v="1"/>
    <n v="1"/>
    <x v="2"/>
    <x v="5"/>
  </r>
  <r>
    <x v="225"/>
    <x v="0"/>
    <x v="13"/>
    <x v="0"/>
    <x v="0"/>
    <x v="1"/>
    <x v="225"/>
    <x v="222"/>
    <x v="0"/>
    <x v="1"/>
    <x v="2"/>
    <x v="0"/>
    <n v="3"/>
    <x v="0"/>
    <x v="6"/>
  </r>
  <r>
    <x v="226"/>
    <x v="1"/>
    <x v="0"/>
    <x v="0"/>
    <x v="1"/>
    <x v="1"/>
    <x v="226"/>
    <x v="223"/>
    <x v="0"/>
    <x v="4"/>
    <x v="2"/>
    <x v="0"/>
    <n v="8"/>
    <x v="0"/>
    <x v="3"/>
  </r>
  <r>
    <x v="227"/>
    <x v="1"/>
    <x v="14"/>
    <x v="1"/>
    <x v="0"/>
    <x v="1"/>
    <x v="227"/>
    <x v="224"/>
    <x v="0"/>
    <x v="3"/>
    <x v="0"/>
    <x v="0"/>
    <n v="7"/>
    <x v="2"/>
    <x v="7"/>
  </r>
  <r>
    <x v="228"/>
    <x v="1"/>
    <x v="21"/>
    <x v="3"/>
    <x v="3"/>
    <x v="0"/>
    <x v="228"/>
    <x v="225"/>
    <x v="0"/>
    <x v="3"/>
    <x v="2"/>
    <x v="0"/>
    <n v="2"/>
    <x v="1"/>
    <x v="4"/>
  </r>
  <r>
    <x v="229"/>
    <x v="1"/>
    <x v="8"/>
    <x v="1"/>
    <x v="1"/>
    <x v="0"/>
    <x v="229"/>
    <x v="226"/>
    <x v="46"/>
    <x v="3"/>
    <x v="1"/>
    <x v="1"/>
    <n v="2"/>
    <x v="0"/>
    <x v="2"/>
  </r>
  <r>
    <x v="230"/>
    <x v="1"/>
    <x v="6"/>
    <x v="1"/>
    <x v="1"/>
    <x v="0"/>
    <x v="230"/>
    <x v="227"/>
    <x v="47"/>
    <x v="3"/>
    <x v="3"/>
    <x v="1"/>
    <n v="2"/>
    <x v="0"/>
    <x v="2"/>
  </r>
  <r>
    <x v="231"/>
    <x v="0"/>
    <x v="14"/>
    <x v="0"/>
    <x v="1"/>
    <x v="1"/>
    <x v="231"/>
    <x v="228"/>
    <x v="0"/>
    <x v="0"/>
    <x v="0"/>
    <x v="0"/>
    <n v="4"/>
    <x v="2"/>
    <x v="6"/>
  </r>
  <r>
    <x v="232"/>
    <x v="0"/>
    <x v="31"/>
    <x v="0"/>
    <x v="0"/>
    <x v="1"/>
    <x v="232"/>
    <x v="229"/>
    <x v="0"/>
    <x v="2"/>
    <x v="2"/>
    <x v="0"/>
    <n v="7"/>
    <x v="1"/>
    <x v="7"/>
  </r>
  <r>
    <x v="233"/>
    <x v="1"/>
    <x v="13"/>
    <x v="2"/>
    <x v="0"/>
    <x v="1"/>
    <x v="233"/>
    <x v="230"/>
    <x v="0"/>
    <x v="1"/>
    <x v="3"/>
    <x v="0"/>
    <n v="8"/>
    <x v="0"/>
    <x v="3"/>
  </r>
  <r>
    <x v="234"/>
    <x v="1"/>
    <x v="17"/>
    <x v="3"/>
    <x v="3"/>
    <x v="1"/>
    <x v="234"/>
    <x v="231"/>
    <x v="0"/>
    <x v="3"/>
    <x v="1"/>
    <x v="0"/>
    <n v="5"/>
    <x v="1"/>
    <x v="1"/>
  </r>
  <r>
    <x v="235"/>
    <x v="1"/>
    <x v="6"/>
    <x v="0"/>
    <x v="1"/>
    <x v="1"/>
    <x v="235"/>
    <x v="232"/>
    <x v="0"/>
    <x v="2"/>
    <x v="2"/>
    <x v="0"/>
    <n v="1"/>
    <x v="0"/>
    <x v="8"/>
  </r>
  <r>
    <x v="236"/>
    <x v="1"/>
    <x v="26"/>
    <x v="2"/>
    <x v="0"/>
    <x v="0"/>
    <x v="236"/>
    <x v="233"/>
    <x v="0"/>
    <x v="1"/>
    <x v="1"/>
    <x v="0"/>
    <n v="9"/>
    <x v="0"/>
    <x v="0"/>
  </r>
  <r>
    <x v="237"/>
    <x v="1"/>
    <x v="11"/>
    <x v="1"/>
    <x v="1"/>
    <x v="1"/>
    <x v="237"/>
    <x v="234"/>
    <x v="0"/>
    <x v="1"/>
    <x v="3"/>
    <x v="0"/>
    <n v="7"/>
    <x v="0"/>
    <x v="7"/>
  </r>
  <r>
    <x v="238"/>
    <x v="1"/>
    <x v="23"/>
    <x v="2"/>
    <x v="0"/>
    <x v="0"/>
    <x v="238"/>
    <x v="223"/>
    <x v="0"/>
    <x v="2"/>
    <x v="0"/>
    <x v="0"/>
    <n v="8"/>
    <x v="0"/>
    <x v="3"/>
  </r>
  <r>
    <x v="239"/>
    <x v="0"/>
    <x v="4"/>
    <x v="0"/>
    <x v="0"/>
    <x v="0"/>
    <x v="239"/>
    <x v="235"/>
    <x v="48"/>
    <x v="0"/>
    <x v="1"/>
    <x v="1"/>
    <n v="4"/>
    <x v="2"/>
    <x v="1"/>
  </r>
  <r>
    <x v="240"/>
    <x v="1"/>
    <x v="30"/>
    <x v="3"/>
    <x v="2"/>
    <x v="0"/>
    <x v="240"/>
    <x v="236"/>
    <x v="0"/>
    <x v="0"/>
    <x v="1"/>
    <x v="0"/>
    <n v="9"/>
    <x v="1"/>
    <x v="0"/>
  </r>
  <r>
    <x v="241"/>
    <x v="1"/>
    <x v="26"/>
    <x v="0"/>
    <x v="0"/>
    <x v="1"/>
    <x v="241"/>
    <x v="237"/>
    <x v="0"/>
    <x v="1"/>
    <x v="0"/>
    <x v="0"/>
    <n v="9"/>
    <x v="0"/>
    <x v="0"/>
  </r>
  <r>
    <x v="242"/>
    <x v="1"/>
    <x v="2"/>
    <x v="0"/>
    <x v="1"/>
    <x v="1"/>
    <x v="242"/>
    <x v="195"/>
    <x v="49"/>
    <x v="4"/>
    <x v="1"/>
    <x v="1"/>
    <n v="1"/>
    <x v="1"/>
    <x v="2"/>
  </r>
  <r>
    <x v="243"/>
    <x v="0"/>
    <x v="17"/>
    <x v="4"/>
    <x v="2"/>
    <x v="0"/>
    <x v="243"/>
    <x v="238"/>
    <x v="0"/>
    <x v="3"/>
    <x v="1"/>
    <x v="0"/>
    <n v="3"/>
    <x v="1"/>
    <x v="6"/>
  </r>
  <r>
    <x v="244"/>
    <x v="0"/>
    <x v="1"/>
    <x v="4"/>
    <x v="2"/>
    <x v="1"/>
    <x v="244"/>
    <x v="239"/>
    <x v="0"/>
    <x v="3"/>
    <x v="3"/>
    <x v="0"/>
    <n v="3"/>
    <x v="0"/>
    <x v="6"/>
  </r>
  <r>
    <x v="245"/>
    <x v="0"/>
    <x v="0"/>
    <x v="1"/>
    <x v="0"/>
    <x v="1"/>
    <x v="245"/>
    <x v="240"/>
    <x v="0"/>
    <x v="2"/>
    <x v="0"/>
    <x v="0"/>
    <n v="8"/>
    <x v="0"/>
    <x v="3"/>
  </r>
  <r>
    <x v="246"/>
    <x v="0"/>
    <x v="23"/>
    <x v="3"/>
    <x v="3"/>
    <x v="0"/>
    <x v="246"/>
    <x v="241"/>
    <x v="0"/>
    <x v="1"/>
    <x v="2"/>
    <x v="0"/>
    <n v="3"/>
    <x v="0"/>
    <x v="6"/>
  </r>
  <r>
    <x v="247"/>
    <x v="0"/>
    <x v="15"/>
    <x v="4"/>
    <x v="1"/>
    <x v="1"/>
    <x v="247"/>
    <x v="242"/>
    <x v="0"/>
    <x v="1"/>
    <x v="0"/>
    <x v="0"/>
    <n v="9"/>
    <x v="1"/>
    <x v="0"/>
  </r>
  <r>
    <x v="248"/>
    <x v="0"/>
    <x v="4"/>
    <x v="1"/>
    <x v="1"/>
    <x v="1"/>
    <x v="248"/>
    <x v="243"/>
    <x v="50"/>
    <x v="4"/>
    <x v="0"/>
    <x v="1"/>
    <n v="3"/>
    <x v="2"/>
    <x v="5"/>
  </r>
  <r>
    <x v="249"/>
    <x v="1"/>
    <x v="15"/>
    <x v="3"/>
    <x v="3"/>
    <x v="0"/>
    <x v="249"/>
    <x v="244"/>
    <x v="0"/>
    <x v="0"/>
    <x v="1"/>
    <x v="0"/>
    <n v="4"/>
    <x v="1"/>
    <x v="2"/>
  </r>
  <r>
    <x v="250"/>
    <x v="0"/>
    <x v="4"/>
    <x v="0"/>
    <x v="0"/>
    <x v="1"/>
    <x v="250"/>
    <x v="245"/>
    <x v="0"/>
    <x v="3"/>
    <x v="2"/>
    <x v="0"/>
    <n v="3"/>
    <x v="2"/>
    <x v="6"/>
  </r>
  <r>
    <x v="251"/>
    <x v="0"/>
    <x v="9"/>
    <x v="4"/>
    <x v="1"/>
    <x v="1"/>
    <x v="251"/>
    <x v="246"/>
    <x v="0"/>
    <x v="4"/>
    <x v="0"/>
    <x v="0"/>
    <n v="6"/>
    <x v="2"/>
    <x v="5"/>
  </r>
  <r>
    <x v="252"/>
    <x v="1"/>
    <x v="28"/>
    <x v="2"/>
    <x v="0"/>
    <x v="0"/>
    <x v="252"/>
    <x v="247"/>
    <x v="51"/>
    <x v="0"/>
    <x v="0"/>
    <x v="1"/>
    <n v="3"/>
    <x v="2"/>
    <x v="0"/>
  </r>
  <r>
    <x v="253"/>
    <x v="1"/>
    <x v="9"/>
    <x v="1"/>
    <x v="1"/>
    <x v="1"/>
    <x v="253"/>
    <x v="248"/>
    <x v="0"/>
    <x v="2"/>
    <x v="2"/>
    <x v="0"/>
    <n v="3"/>
    <x v="2"/>
    <x v="6"/>
  </r>
  <r>
    <x v="254"/>
    <x v="0"/>
    <x v="20"/>
    <x v="1"/>
    <x v="1"/>
    <x v="1"/>
    <x v="254"/>
    <x v="249"/>
    <x v="52"/>
    <x v="3"/>
    <x v="2"/>
    <x v="1"/>
    <n v="2"/>
    <x v="0"/>
    <x v="2"/>
  </r>
  <r>
    <x v="255"/>
    <x v="1"/>
    <x v="17"/>
    <x v="0"/>
    <x v="1"/>
    <x v="0"/>
    <x v="255"/>
    <x v="250"/>
    <x v="0"/>
    <x v="4"/>
    <x v="2"/>
    <x v="0"/>
    <n v="8"/>
    <x v="1"/>
    <x v="3"/>
  </r>
  <r>
    <x v="256"/>
    <x v="1"/>
    <x v="28"/>
    <x v="4"/>
    <x v="2"/>
    <x v="1"/>
    <x v="256"/>
    <x v="222"/>
    <x v="0"/>
    <x v="3"/>
    <x v="3"/>
    <x v="0"/>
    <n v="3"/>
    <x v="2"/>
    <x v="6"/>
  </r>
  <r>
    <x v="257"/>
    <x v="1"/>
    <x v="12"/>
    <x v="1"/>
    <x v="1"/>
    <x v="1"/>
    <x v="257"/>
    <x v="251"/>
    <x v="0"/>
    <x v="0"/>
    <x v="2"/>
    <x v="0"/>
    <n v="5"/>
    <x v="1"/>
    <x v="1"/>
  </r>
  <r>
    <x v="258"/>
    <x v="0"/>
    <x v="31"/>
    <x v="3"/>
    <x v="3"/>
    <x v="0"/>
    <x v="258"/>
    <x v="252"/>
    <x v="0"/>
    <x v="3"/>
    <x v="3"/>
    <x v="0"/>
    <n v="6"/>
    <x v="1"/>
    <x v="5"/>
  </r>
  <r>
    <x v="259"/>
    <x v="0"/>
    <x v="5"/>
    <x v="3"/>
    <x v="3"/>
    <x v="1"/>
    <x v="259"/>
    <x v="253"/>
    <x v="0"/>
    <x v="3"/>
    <x v="3"/>
    <x v="0"/>
    <n v="2"/>
    <x v="1"/>
    <x v="4"/>
  </r>
  <r>
    <x v="260"/>
    <x v="0"/>
    <x v="29"/>
    <x v="0"/>
    <x v="1"/>
    <x v="0"/>
    <x v="260"/>
    <x v="217"/>
    <x v="0"/>
    <x v="4"/>
    <x v="0"/>
    <x v="0"/>
    <n v="3"/>
    <x v="2"/>
    <x v="6"/>
  </r>
  <r>
    <x v="261"/>
    <x v="1"/>
    <x v="13"/>
    <x v="4"/>
    <x v="1"/>
    <x v="0"/>
    <x v="261"/>
    <x v="254"/>
    <x v="0"/>
    <x v="3"/>
    <x v="1"/>
    <x v="0"/>
    <n v="2"/>
    <x v="0"/>
    <x v="4"/>
  </r>
  <r>
    <x v="262"/>
    <x v="1"/>
    <x v="16"/>
    <x v="0"/>
    <x v="1"/>
    <x v="0"/>
    <x v="262"/>
    <x v="2"/>
    <x v="0"/>
    <x v="4"/>
    <x v="0"/>
    <x v="0"/>
    <n v="5"/>
    <x v="1"/>
    <x v="2"/>
  </r>
  <r>
    <x v="263"/>
    <x v="1"/>
    <x v="1"/>
    <x v="0"/>
    <x v="0"/>
    <x v="1"/>
    <x v="263"/>
    <x v="255"/>
    <x v="0"/>
    <x v="4"/>
    <x v="1"/>
    <x v="0"/>
    <n v="7"/>
    <x v="0"/>
    <x v="7"/>
  </r>
  <r>
    <x v="264"/>
    <x v="0"/>
    <x v="12"/>
    <x v="0"/>
    <x v="1"/>
    <x v="1"/>
    <x v="264"/>
    <x v="256"/>
    <x v="53"/>
    <x v="0"/>
    <x v="2"/>
    <x v="1"/>
    <n v="2"/>
    <x v="1"/>
    <x v="0"/>
  </r>
  <r>
    <x v="265"/>
    <x v="1"/>
    <x v="21"/>
    <x v="3"/>
    <x v="2"/>
    <x v="0"/>
    <x v="265"/>
    <x v="257"/>
    <x v="0"/>
    <x v="1"/>
    <x v="3"/>
    <x v="0"/>
    <n v="9"/>
    <x v="1"/>
    <x v="0"/>
  </r>
  <r>
    <x v="266"/>
    <x v="0"/>
    <x v="24"/>
    <x v="3"/>
    <x v="3"/>
    <x v="1"/>
    <x v="266"/>
    <x v="258"/>
    <x v="0"/>
    <x v="2"/>
    <x v="1"/>
    <x v="0"/>
    <n v="6"/>
    <x v="1"/>
    <x v="5"/>
  </r>
  <r>
    <x v="267"/>
    <x v="0"/>
    <x v="29"/>
    <x v="4"/>
    <x v="1"/>
    <x v="0"/>
    <x v="267"/>
    <x v="259"/>
    <x v="54"/>
    <x v="1"/>
    <x v="2"/>
    <x v="1"/>
    <n v="1"/>
    <x v="2"/>
    <x v="5"/>
  </r>
  <r>
    <x v="268"/>
    <x v="1"/>
    <x v="7"/>
    <x v="1"/>
    <x v="1"/>
    <x v="0"/>
    <x v="268"/>
    <x v="260"/>
    <x v="0"/>
    <x v="3"/>
    <x v="2"/>
    <x v="0"/>
    <n v="8"/>
    <x v="1"/>
    <x v="3"/>
  </r>
  <r>
    <x v="269"/>
    <x v="1"/>
    <x v="29"/>
    <x v="2"/>
    <x v="0"/>
    <x v="1"/>
    <x v="269"/>
    <x v="261"/>
    <x v="0"/>
    <x v="3"/>
    <x v="1"/>
    <x v="0"/>
    <n v="2"/>
    <x v="2"/>
    <x v="4"/>
  </r>
  <r>
    <x v="270"/>
    <x v="0"/>
    <x v="28"/>
    <x v="0"/>
    <x v="0"/>
    <x v="1"/>
    <x v="270"/>
    <x v="262"/>
    <x v="0"/>
    <x v="1"/>
    <x v="1"/>
    <x v="0"/>
    <n v="2"/>
    <x v="2"/>
    <x v="4"/>
  </r>
  <r>
    <x v="271"/>
    <x v="1"/>
    <x v="24"/>
    <x v="0"/>
    <x v="1"/>
    <x v="1"/>
    <x v="271"/>
    <x v="263"/>
    <x v="0"/>
    <x v="3"/>
    <x v="0"/>
    <x v="0"/>
    <n v="7"/>
    <x v="1"/>
    <x v="7"/>
  </r>
  <r>
    <x v="272"/>
    <x v="0"/>
    <x v="17"/>
    <x v="3"/>
    <x v="1"/>
    <x v="0"/>
    <x v="272"/>
    <x v="264"/>
    <x v="0"/>
    <x v="1"/>
    <x v="3"/>
    <x v="0"/>
    <n v="6"/>
    <x v="1"/>
    <x v="5"/>
  </r>
  <r>
    <x v="273"/>
    <x v="0"/>
    <x v="33"/>
    <x v="0"/>
    <x v="0"/>
    <x v="1"/>
    <x v="273"/>
    <x v="265"/>
    <x v="0"/>
    <x v="0"/>
    <x v="2"/>
    <x v="0"/>
    <n v="7"/>
    <x v="1"/>
    <x v="7"/>
  </r>
  <r>
    <x v="274"/>
    <x v="1"/>
    <x v="23"/>
    <x v="1"/>
    <x v="0"/>
    <x v="1"/>
    <x v="274"/>
    <x v="266"/>
    <x v="0"/>
    <x v="1"/>
    <x v="2"/>
    <x v="0"/>
    <n v="5"/>
    <x v="0"/>
    <x v="1"/>
  </r>
  <r>
    <x v="275"/>
    <x v="1"/>
    <x v="9"/>
    <x v="3"/>
    <x v="3"/>
    <x v="0"/>
    <x v="275"/>
    <x v="267"/>
    <x v="0"/>
    <x v="3"/>
    <x v="1"/>
    <x v="0"/>
    <n v="4"/>
    <x v="2"/>
    <x v="2"/>
  </r>
  <r>
    <x v="276"/>
    <x v="1"/>
    <x v="30"/>
    <x v="4"/>
    <x v="2"/>
    <x v="0"/>
    <x v="276"/>
    <x v="268"/>
    <x v="0"/>
    <x v="2"/>
    <x v="2"/>
    <x v="0"/>
    <n v="2"/>
    <x v="1"/>
    <x v="4"/>
  </r>
  <r>
    <x v="277"/>
    <x v="1"/>
    <x v="1"/>
    <x v="3"/>
    <x v="3"/>
    <x v="1"/>
    <x v="277"/>
    <x v="78"/>
    <x v="0"/>
    <x v="0"/>
    <x v="0"/>
    <x v="0"/>
    <n v="9"/>
    <x v="0"/>
    <x v="0"/>
  </r>
  <r>
    <x v="278"/>
    <x v="1"/>
    <x v="19"/>
    <x v="1"/>
    <x v="1"/>
    <x v="0"/>
    <x v="278"/>
    <x v="269"/>
    <x v="0"/>
    <x v="3"/>
    <x v="0"/>
    <x v="0"/>
    <n v="8"/>
    <x v="2"/>
    <x v="3"/>
  </r>
  <r>
    <x v="279"/>
    <x v="0"/>
    <x v="12"/>
    <x v="2"/>
    <x v="1"/>
    <x v="1"/>
    <x v="279"/>
    <x v="199"/>
    <x v="0"/>
    <x v="2"/>
    <x v="1"/>
    <x v="0"/>
    <n v="6"/>
    <x v="1"/>
    <x v="5"/>
  </r>
  <r>
    <x v="280"/>
    <x v="1"/>
    <x v="7"/>
    <x v="0"/>
    <x v="0"/>
    <x v="0"/>
    <x v="280"/>
    <x v="270"/>
    <x v="55"/>
    <x v="1"/>
    <x v="2"/>
    <x v="1"/>
    <n v="4"/>
    <x v="1"/>
    <x v="7"/>
  </r>
  <r>
    <x v="281"/>
    <x v="1"/>
    <x v="1"/>
    <x v="0"/>
    <x v="1"/>
    <x v="1"/>
    <x v="281"/>
    <x v="271"/>
    <x v="0"/>
    <x v="0"/>
    <x v="3"/>
    <x v="0"/>
    <n v="3"/>
    <x v="0"/>
    <x v="6"/>
  </r>
  <r>
    <x v="282"/>
    <x v="0"/>
    <x v="21"/>
    <x v="1"/>
    <x v="0"/>
    <x v="1"/>
    <x v="282"/>
    <x v="168"/>
    <x v="0"/>
    <x v="1"/>
    <x v="2"/>
    <x v="0"/>
    <n v="2"/>
    <x v="1"/>
    <x v="4"/>
  </r>
  <r>
    <x v="283"/>
    <x v="0"/>
    <x v="16"/>
    <x v="2"/>
    <x v="1"/>
    <x v="0"/>
    <x v="283"/>
    <x v="272"/>
    <x v="0"/>
    <x v="4"/>
    <x v="1"/>
    <x v="0"/>
    <n v="8"/>
    <x v="1"/>
    <x v="3"/>
  </r>
  <r>
    <x v="284"/>
    <x v="0"/>
    <x v="16"/>
    <x v="4"/>
    <x v="1"/>
    <x v="1"/>
    <x v="284"/>
    <x v="273"/>
    <x v="0"/>
    <x v="3"/>
    <x v="3"/>
    <x v="0"/>
    <n v="4"/>
    <x v="1"/>
    <x v="2"/>
  </r>
  <r>
    <x v="285"/>
    <x v="0"/>
    <x v="27"/>
    <x v="1"/>
    <x v="1"/>
    <x v="0"/>
    <x v="285"/>
    <x v="274"/>
    <x v="0"/>
    <x v="0"/>
    <x v="1"/>
    <x v="0"/>
    <n v="10"/>
    <x v="1"/>
    <x v="0"/>
  </r>
  <r>
    <x v="286"/>
    <x v="1"/>
    <x v="22"/>
    <x v="2"/>
    <x v="1"/>
    <x v="1"/>
    <x v="286"/>
    <x v="275"/>
    <x v="0"/>
    <x v="0"/>
    <x v="2"/>
    <x v="0"/>
    <n v="5"/>
    <x v="0"/>
    <x v="1"/>
  </r>
  <r>
    <x v="287"/>
    <x v="0"/>
    <x v="19"/>
    <x v="1"/>
    <x v="0"/>
    <x v="1"/>
    <x v="287"/>
    <x v="276"/>
    <x v="0"/>
    <x v="2"/>
    <x v="2"/>
    <x v="0"/>
    <n v="4"/>
    <x v="2"/>
    <x v="2"/>
  </r>
  <r>
    <x v="288"/>
    <x v="0"/>
    <x v="20"/>
    <x v="4"/>
    <x v="1"/>
    <x v="0"/>
    <x v="288"/>
    <x v="277"/>
    <x v="11"/>
    <x v="4"/>
    <x v="0"/>
    <x v="1"/>
    <n v="3"/>
    <x v="0"/>
    <x v="2"/>
  </r>
  <r>
    <x v="289"/>
    <x v="0"/>
    <x v="14"/>
    <x v="3"/>
    <x v="3"/>
    <x v="1"/>
    <x v="289"/>
    <x v="278"/>
    <x v="56"/>
    <x v="1"/>
    <x v="1"/>
    <x v="1"/>
    <n v="4"/>
    <x v="2"/>
    <x v="7"/>
  </r>
  <r>
    <x v="290"/>
    <x v="1"/>
    <x v="4"/>
    <x v="0"/>
    <x v="0"/>
    <x v="0"/>
    <x v="290"/>
    <x v="279"/>
    <x v="0"/>
    <x v="3"/>
    <x v="0"/>
    <x v="0"/>
    <n v="2"/>
    <x v="2"/>
    <x v="4"/>
  </r>
  <r>
    <x v="291"/>
    <x v="0"/>
    <x v="7"/>
    <x v="0"/>
    <x v="0"/>
    <x v="1"/>
    <x v="291"/>
    <x v="280"/>
    <x v="0"/>
    <x v="1"/>
    <x v="1"/>
    <x v="0"/>
    <n v="2"/>
    <x v="1"/>
    <x v="4"/>
  </r>
  <r>
    <x v="292"/>
    <x v="0"/>
    <x v="5"/>
    <x v="0"/>
    <x v="1"/>
    <x v="1"/>
    <x v="292"/>
    <x v="281"/>
    <x v="0"/>
    <x v="3"/>
    <x v="2"/>
    <x v="0"/>
    <n v="1"/>
    <x v="1"/>
    <x v="8"/>
  </r>
  <r>
    <x v="293"/>
    <x v="0"/>
    <x v="1"/>
    <x v="2"/>
    <x v="1"/>
    <x v="1"/>
    <x v="293"/>
    <x v="282"/>
    <x v="0"/>
    <x v="1"/>
    <x v="2"/>
    <x v="0"/>
    <n v="9"/>
    <x v="0"/>
    <x v="0"/>
  </r>
  <r>
    <x v="294"/>
    <x v="0"/>
    <x v="3"/>
    <x v="4"/>
    <x v="2"/>
    <x v="0"/>
    <x v="294"/>
    <x v="283"/>
    <x v="0"/>
    <x v="2"/>
    <x v="1"/>
    <x v="0"/>
    <n v="3"/>
    <x v="2"/>
    <x v="6"/>
  </r>
  <r>
    <x v="295"/>
    <x v="0"/>
    <x v="13"/>
    <x v="3"/>
    <x v="3"/>
    <x v="0"/>
    <x v="295"/>
    <x v="284"/>
    <x v="0"/>
    <x v="0"/>
    <x v="3"/>
    <x v="0"/>
    <n v="5"/>
    <x v="0"/>
    <x v="1"/>
  </r>
  <r>
    <x v="296"/>
    <x v="0"/>
    <x v="24"/>
    <x v="0"/>
    <x v="0"/>
    <x v="1"/>
    <x v="296"/>
    <x v="285"/>
    <x v="0"/>
    <x v="2"/>
    <x v="2"/>
    <x v="0"/>
    <n v="2"/>
    <x v="1"/>
    <x v="4"/>
  </r>
  <r>
    <x v="297"/>
    <x v="0"/>
    <x v="24"/>
    <x v="4"/>
    <x v="2"/>
    <x v="1"/>
    <x v="207"/>
    <x v="286"/>
    <x v="57"/>
    <x v="4"/>
    <x v="2"/>
    <x v="1"/>
    <n v="3"/>
    <x v="1"/>
    <x v="1"/>
  </r>
  <r>
    <x v="298"/>
    <x v="0"/>
    <x v="31"/>
    <x v="4"/>
    <x v="2"/>
    <x v="0"/>
    <x v="297"/>
    <x v="287"/>
    <x v="0"/>
    <x v="2"/>
    <x v="0"/>
    <x v="0"/>
    <n v="3"/>
    <x v="1"/>
    <x v="6"/>
  </r>
  <r>
    <x v="299"/>
    <x v="1"/>
    <x v="10"/>
    <x v="3"/>
    <x v="3"/>
    <x v="1"/>
    <x v="298"/>
    <x v="288"/>
    <x v="58"/>
    <x v="3"/>
    <x v="0"/>
    <x v="1"/>
    <n v="1"/>
    <x v="1"/>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E9D346-7EB8-4F18-952B-22AE3A000F76}" name="AttrbyPer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G14:H20" firstHeaderRow="1" firstDataRow="1" firstDataCol="1"/>
  <pivotFields count="18">
    <pivotField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showAll="0"/>
    <pivotField axis="axisRow" showAll="0">
      <items count="6">
        <item x="4"/>
        <item x="0"/>
        <item x="3"/>
        <item x="1"/>
        <item x="2"/>
        <item t="default"/>
      </items>
    </pivotField>
    <pivotField showAll="0">
      <items count="5">
        <item x="2"/>
        <item x="3"/>
        <item x="0"/>
        <item x="1"/>
        <item t="default"/>
      </items>
    </pivotField>
    <pivotField showAll="0"/>
    <pivotField showAll="0">
      <items count="300">
        <item x="159"/>
        <item x="53"/>
        <item x="256"/>
        <item x="287"/>
        <item x="147"/>
        <item x="126"/>
        <item x="220"/>
        <item x="163"/>
        <item x="193"/>
        <item x="93"/>
        <item x="80"/>
        <item x="158"/>
        <item x="170"/>
        <item x="139"/>
        <item x="127"/>
        <item x="291"/>
        <item x="95"/>
        <item x="169"/>
        <item x="216"/>
        <item x="242"/>
        <item x="153"/>
        <item x="75"/>
        <item x="67"/>
        <item x="107"/>
        <item x="68"/>
        <item x="243"/>
        <item x="186"/>
        <item x="73"/>
        <item x="108"/>
        <item x="39"/>
        <item x="13"/>
        <item x="74"/>
        <item x="16"/>
        <item x="292"/>
        <item x="250"/>
        <item x="149"/>
        <item x="148"/>
        <item x="6"/>
        <item x="179"/>
        <item x="168"/>
        <item x="181"/>
        <item x="105"/>
        <item x="48"/>
        <item x="113"/>
        <item x="19"/>
        <item x="275"/>
        <item x="173"/>
        <item x="24"/>
        <item x="239"/>
        <item x="136"/>
        <item x="37"/>
        <item x="58"/>
        <item x="155"/>
        <item x="46"/>
        <item x="110"/>
        <item x="212"/>
        <item x="137"/>
        <item x="226"/>
        <item x="27"/>
        <item x="224"/>
        <item x="90"/>
        <item x="295"/>
        <item x="172"/>
        <item x="164"/>
        <item x="30"/>
        <item x="77"/>
        <item x="23"/>
        <item x="87"/>
        <item x="254"/>
        <item x="245"/>
        <item x="209"/>
        <item x="71"/>
        <item x="115"/>
        <item x="2"/>
        <item x="5"/>
        <item x="200"/>
        <item x="85"/>
        <item x="274"/>
        <item x="281"/>
        <item x="134"/>
        <item x="202"/>
        <item x="98"/>
        <item x="296"/>
        <item x="228"/>
        <item x="232"/>
        <item x="146"/>
        <item x="128"/>
        <item x="51"/>
        <item x="206"/>
        <item x="270"/>
        <item x="132"/>
        <item x="236"/>
        <item x="145"/>
        <item x="286"/>
        <item x="91"/>
        <item x="92"/>
        <item x="84"/>
        <item x="201"/>
        <item x="252"/>
        <item x="66"/>
        <item x="116"/>
        <item x="251"/>
        <item x="255"/>
        <item x="9"/>
        <item x="41"/>
        <item x="34"/>
        <item x="195"/>
        <item x="29"/>
        <item x="192"/>
        <item x="122"/>
        <item x="191"/>
        <item x="253"/>
        <item x="194"/>
        <item x="133"/>
        <item x="211"/>
        <item x="20"/>
        <item x="22"/>
        <item x="52"/>
        <item x="121"/>
        <item x="235"/>
        <item x="215"/>
        <item x="273"/>
        <item x="298"/>
        <item x="130"/>
        <item x="97"/>
        <item x="54"/>
        <item x="260"/>
        <item x="225"/>
        <item x="142"/>
        <item x="218"/>
        <item x="284"/>
        <item x="28"/>
        <item x="237"/>
        <item x="140"/>
        <item x="21"/>
        <item x="264"/>
        <item x="138"/>
        <item x="184"/>
        <item x="83"/>
        <item x="266"/>
        <item x="117"/>
        <item x="198"/>
        <item x="94"/>
        <item x="31"/>
        <item x="120"/>
        <item x="175"/>
        <item x="234"/>
        <item x="290"/>
        <item x="143"/>
        <item x="240"/>
        <item x="222"/>
        <item x="167"/>
        <item x="162"/>
        <item x="277"/>
        <item x="227"/>
        <item x="229"/>
        <item x="276"/>
        <item x="208"/>
        <item x="197"/>
        <item x="4"/>
        <item x="283"/>
        <item x="26"/>
        <item x="141"/>
        <item x="297"/>
        <item x="61"/>
        <item x="269"/>
        <item x="10"/>
        <item x="189"/>
        <item x="82"/>
        <item x="103"/>
        <item x="99"/>
        <item x="271"/>
        <item x="180"/>
        <item x="214"/>
        <item x="118"/>
        <item x="182"/>
        <item x="86"/>
        <item x="45"/>
        <item x="62"/>
        <item x="129"/>
        <item x="42"/>
        <item x="18"/>
        <item x="59"/>
        <item x="204"/>
        <item x="272"/>
        <item x="231"/>
        <item x="0"/>
        <item x="267"/>
        <item x="43"/>
        <item x="151"/>
        <item x="38"/>
        <item x="249"/>
        <item x="78"/>
        <item x="166"/>
        <item x="213"/>
        <item x="81"/>
        <item x="17"/>
        <item x="72"/>
        <item x="88"/>
        <item x="261"/>
        <item x="1"/>
        <item x="47"/>
        <item x="70"/>
        <item x="196"/>
        <item x="293"/>
        <item x="289"/>
        <item x="69"/>
        <item x="65"/>
        <item x="294"/>
        <item x="247"/>
        <item x="185"/>
        <item x="57"/>
        <item x="187"/>
        <item x="190"/>
        <item x="11"/>
        <item x="32"/>
        <item x="280"/>
        <item x="44"/>
        <item x="36"/>
        <item x="161"/>
        <item x="104"/>
        <item x="144"/>
        <item x="262"/>
        <item x="210"/>
        <item x="285"/>
        <item x="268"/>
        <item x="165"/>
        <item x="176"/>
        <item x="183"/>
        <item x="241"/>
        <item x="3"/>
        <item x="174"/>
        <item x="123"/>
        <item x="257"/>
        <item x="219"/>
        <item x="259"/>
        <item x="7"/>
        <item x="177"/>
        <item x="223"/>
        <item x="64"/>
        <item x="203"/>
        <item x="265"/>
        <item x="111"/>
        <item x="157"/>
        <item x="238"/>
        <item x="50"/>
        <item x="135"/>
        <item x="101"/>
        <item x="244"/>
        <item x="125"/>
        <item x="25"/>
        <item x="217"/>
        <item x="112"/>
        <item x="279"/>
        <item x="35"/>
        <item x="56"/>
        <item x="282"/>
        <item x="124"/>
        <item x="221"/>
        <item x="12"/>
        <item x="152"/>
        <item x="288"/>
        <item x="178"/>
        <item x="8"/>
        <item x="100"/>
        <item x="119"/>
        <item x="40"/>
        <item x="76"/>
        <item x="109"/>
        <item x="233"/>
        <item x="156"/>
        <item x="230"/>
        <item x="79"/>
        <item x="15"/>
        <item x="154"/>
        <item x="207"/>
        <item x="33"/>
        <item x="188"/>
        <item x="89"/>
        <item x="171"/>
        <item x="49"/>
        <item x="160"/>
        <item x="96"/>
        <item x="199"/>
        <item x="63"/>
        <item x="246"/>
        <item x="205"/>
        <item x="258"/>
        <item x="60"/>
        <item x="263"/>
        <item x="106"/>
        <item x="248"/>
        <item x="150"/>
        <item x="102"/>
        <item x="14"/>
        <item x="55"/>
        <item x="131"/>
        <item x="114"/>
        <item x="278"/>
        <item t="default"/>
      </items>
    </pivotField>
    <pivotField showAll="0">
      <items count="290">
        <item x="274"/>
        <item x="221"/>
        <item x="188"/>
        <item x="256"/>
        <item x="88"/>
        <item x="233"/>
        <item x="237"/>
        <item x="257"/>
        <item x="36"/>
        <item x="0"/>
        <item x="60"/>
        <item x="65"/>
        <item x="18"/>
        <item x="78"/>
        <item x="110"/>
        <item x="95"/>
        <item x="180"/>
        <item x="167"/>
        <item x="41"/>
        <item x="72"/>
        <item x="46"/>
        <item x="203"/>
        <item x="86"/>
        <item x="25"/>
        <item x="14"/>
        <item x="236"/>
        <item x="52"/>
        <item x="26"/>
        <item x="282"/>
        <item x="182"/>
        <item x="218"/>
        <item x="74"/>
        <item x="170"/>
        <item x="242"/>
        <item x="166"/>
        <item x="27"/>
        <item x="175"/>
        <item x="247"/>
        <item x="85"/>
        <item x="121"/>
        <item x="32"/>
        <item x="143"/>
        <item x="240"/>
        <item x="3"/>
        <item x="269"/>
        <item x="79"/>
        <item x="39"/>
        <item x="230"/>
        <item x="200"/>
        <item x="4"/>
        <item x="145"/>
        <item x="19"/>
        <item x="219"/>
        <item x="174"/>
        <item x="9"/>
        <item x="108"/>
        <item x="223"/>
        <item x="183"/>
        <item x="97"/>
        <item x="272"/>
        <item x="118"/>
        <item x="51"/>
        <item x="31"/>
        <item x="127"/>
        <item x="99"/>
        <item x="208"/>
        <item x="148"/>
        <item x="96"/>
        <item x="250"/>
        <item x="77"/>
        <item x="115"/>
        <item x="260"/>
        <item x="83"/>
        <item x="206"/>
        <item x="229"/>
        <item x="90"/>
        <item x="21"/>
        <item x="71"/>
        <item x="136"/>
        <item x="191"/>
        <item x="162"/>
        <item x="172"/>
        <item x="130"/>
        <item x="146"/>
        <item x="187"/>
        <item x="288"/>
        <item x="213"/>
        <item x="224"/>
        <item x="82"/>
        <item x="149"/>
        <item x="270"/>
        <item x="265"/>
        <item x="184"/>
        <item x="47"/>
        <item x="64"/>
        <item x="234"/>
        <item x="58"/>
        <item x="255"/>
        <item x="278"/>
        <item x="114"/>
        <item x="57"/>
        <item x="56"/>
        <item x="263"/>
        <item x="165"/>
        <item x="8"/>
        <item x="50"/>
        <item x="138"/>
        <item x="190"/>
        <item x="150"/>
        <item x="91"/>
        <item x="207"/>
        <item x="156"/>
        <item x="199"/>
        <item x="211"/>
        <item x="144"/>
        <item x="123"/>
        <item x="246"/>
        <item x="176"/>
        <item x="259"/>
        <item x="252"/>
        <item x="92"/>
        <item x="133"/>
        <item x="38"/>
        <item x="54"/>
        <item x="193"/>
        <item x="17"/>
        <item x="125"/>
        <item x="198"/>
        <item x="258"/>
        <item x="243"/>
        <item x="178"/>
        <item x="201"/>
        <item x="264"/>
        <item x="20"/>
        <item x="163"/>
        <item x="103"/>
        <item x="104"/>
        <item x="124"/>
        <item x="139"/>
        <item x="6"/>
        <item x="151"/>
        <item x="142"/>
        <item x="13"/>
        <item x="251"/>
        <item x="231"/>
        <item x="169"/>
        <item x="266"/>
        <item x="286"/>
        <item x="93"/>
        <item x="153"/>
        <item x="16"/>
        <item x="189"/>
        <item x="23"/>
        <item x="117"/>
        <item x="235"/>
        <item x="120"/>
        <item x="75"/>
        <item x="53"/>
        <item x="1"/>
        <item x="76"/>
        <item x="284"/>
        <item x="275"/>
        <item x="131"/>
        <item x="177"/>
        <item x="12"/>
        <item x="63"/>
        <item x="87"/>
        <item x="164"/>
        <item x="94"/>
        <item x="196"/>
        <item x="33"/>
        <item x="128"/>
        <item x="49"/>
        <item x="155"/>
        <item x="2"/>
        <item x="244"/>
        <item x="267"/>
        <item x="273"/>
        <item x="109"/>
        <item x="277"/>
        <item x="132"/>
        <item x="212"/>
        <item x="186"/>
        <item x="105"/>
        <item x="159"/>
        <item x="37"/>
        <item x="226"/>
        <item x="210"/>
        <item x="73"/>
        <item x="100"/>
        <item x="276"/>
        <item x="129"/>
        <item x="10"/>
        <item x="171"/>
        <item x="141"/>
        <item x="147"/>
        <item x="135"/>
        <item x="152"/>
        <item x="192"/>
        <item x="249"/>
        <item x="195"/>
        <item x="227"/>
        <item x="126"/>
        <item x="228"/>
        <item x="70"/>
        <item x="157"/>
        <item x="106"/>
        <item x="29"/>
        <item x="81"/>
        <item x="241"/>
        <item x="30"/>
        <item x="111"/>
        <item x="215"/>
        <item x="44"/>
        <item x="173"/>
        <item x="22"/>
        <item x="239"/>
        <item x="113"/>
        <item x="67"/>
        <item x="48"/>
        <item x="122"/>
        <item x="217"/>
        <item x="238"/>
        <item x="101"/>
        <item x="287"/>
        <item x="80"/>
        <item x="271"/>
        <item x="158"/>
        <item x="140"/>
        <item x="34"/>
        <item x="98"/>
        <item x="194"/>
        <item x="134"/>
        <item x="55"/>
        <item x="116"/>
        <item x="222"/>
        <item x="11"/>
        <item x="66"/>
        <item x="248"/>
        <item x="209"/>
        <item x="185"/>
        <item x="283"/>
        <item x="245"/>
        <item x="107"/>
        <item x="102"/>
        <item x="42"/>
        <item x="179"/>
        <item x="181"/>
        <item x="7"/>
        <item x="261"/>
        <item x="137"/>
        <item x="225"/>
        <item x="62"/>
        <item x="205"/>
        <item x="204"/>
        <item x="160"/>
        <item x="285"/>
        <item x="15"/>
        <item x="5"/>
        <item x="112"/>
        <item x="45"/>
        <item x="214"/>
        <item x="84"/>
        <item x="28"/>
        <item x="254"/>
        <item x="168"/>
        <item x="216"/>
        <item x="35"/>
        <item x="220"/>
        <item x="61"/>
        <item x="268"/>
        <item x="68"/>
        <item x="253"/>
        <item x="161"/>
        <item x="280"/>
        <item x="202"/>
        <item x="24"/>
        <item x="43"/>
        <item x="59"/>
        <item x="119"/>
        <item x="69"/>
        <item x="279"/>
        <item x="262"/>
        <item x="197"/>
        <item x="154"/>
        <item x="89"/>
        <item x="232"/>
        <item x="40"/>
        <item x="281"/>
        <item t="default"/>
      </items>
    </pivotField>
    <pivotField showAll="0">
      <items count="60">
        <item x="53"/>
        <item x="2"/>
        <item x="27"/>
        <item x="12"/>
        <item x="42"/>
        <item x="21"/>
        <item x="38"/>
        <item x="44"/>
        <item x="58"/>
        <item x="18"/>
        <item x="17"/>
        <item x="34"/>
        <item x="13"/>
        <item x="40"/>
        <item x="29"/>
        <item x="43"/>
        <item x="10"/>
        <item x="51"/>
        <item x="24"/>
        <item x="54"/>
        <item x="7"/>
        <item x="35"/>
        <item x="23"/>
        <item x="39"/>
        <item x="20"/>
        <item x="9"/>
        <item x="4"/>
        <item x="6"/>
        <item x="45"/>
        <item x="31"/>
        <item x="1"/>
        <item x="16"/>
        <item x="30"/>
        <item x="5"/>
        <item x="3"/>
        <item x="50"/>
        <item x="56"/>
        <item x="46"/>
        <item x="14"/>
        <item x="55"/>
        <item x="8"/>
        <item x="15"/>
        <item x="49"/>
        <item x="32"/>
        <item x="33"/>
        <item x="57"/>
        <item x="47"/>
        <item x="28"/>
        <item x="36"/>
        <item x="22"/>
        <item x="11"/>
        <item x="25"/>
        <item x="41"/>
        <item x="37"/>
        <item x="19"/>
        <item x="52"/>
        <item x="26"/>
        <item x="48"/>
        <item x="0"/>
        <item t="default"/>
      </items>
    </pivotField>
    <pivotField dataField="1" showAll="0">
      <items count="6">
        <item x="2"/>
        <item x="1"/>
        <item x="4"/>
        <item x="3"/>
        <item x="0"/>
        <item t="default"/>
      </items>
    </pivotField>
    <pivotField showAll="0"/>
    <pivotField showAll="0">
      <items count="3">
        <item x="0"/>
        <item x="1"/>
        <item t="default"/>
      </items>
    </pivotField>
    <pivotField showAll="0"/>
    <pivotField showAll="0"/>
    <pivotField showAll="0">
      <items count="11">
        <item m="1" x="9"/>
        <item x="0"/>
        <item x="3"/>
        <item x="7"/>
        <item x="5"/>
        <item x="1"/>
        <item x="2"/>
        <item x="6"/>
        <item x="4"/>
        <item x="8"/>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3"/>
  </rowFields>
  <rowItems count="6">
    <i>
      <x/>
    </i>
    <i>
      <x v="1"/>
    </i>
    <i>
      <x v="2"/>
    </i>
    <i>
      <x v="3"/>
    </i>
    <i>
      <x v="4"/>
    </i>
    <i t="grand">
      <x/>
    </i>
  </rowItems>
  <colItems count="1">
    <i/>
  </colItems>
  <dataFields count="1">
    <dataField name="Average of Performance_Rating" fld="9" subtotal="average" baseField="3" baseItem="0"/>
  </dataFields>
  <formats count="8">
    <format dxfId="7">
      <pivotArea outline="0" collapsedLevelsAreSubtotals="1" fieldPosition="0"/>
    </format>
    <format dxfId="6">
      <pivotArea grandRow="1" outline="0" collapsedLevelsAreSubtotals="1" fieldPosition="0"/>
    </format>
    <format dxfId="5">
      <pivotArea type="all" dataOnly="0" outline="0" fieldPosition="0"/>
    </format>
    <format dxfId="4">
      <pivotArea outline="0" collapsedLevelsAreSubtotals="1" fieldPosition="0"/>
    </format>
    <format dxfId="3">
      <pivotArea field="3" type="button" dataOnly="0" labelOnly="1" outline="0" axis="axisRow" fieldPosition="0"/>
    </format>
    <format dxfId="2">
      <pivotArea dataOnly="0" labelOnly="1" fieldPosition="0">
        <references count="1">
          <reference field="3" count="0"/>
        </references>
      </pivotArea>
    </format>
    <format dxfId="1">
      <pivotArea dataOnly="0" labelOnly="1" grandRow="1" outline="0" fieldPosition="0"/>
    </format>
    <format dxfId="0">
      <pivotArea dataOnly="0" labelOnly="1" outline="0" axis="axisValues" fieldPosition="0"/>
    </format>
  </formats>
  <chartFormats count="1">
    <chartFormat chart="3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DF6E15-0749-4AB3-9306-74B44D7EA975}" name="RatingbyGe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G5:H8" firstHeaderRow="1" firstDataRow="1" firstDataCol="1"/>
  <pivotFields count="18">
    <pivotField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axis="axisRow" showAll="0">
      <items count="3">
        <item x="1"/>
        <item x="0"/>
        <item t="default"/>
      </items>
    </pivotField>
    <pivotField showAll="0">
      <items count="35">
        <item x="9"/>
        <item x="29"/>
        <item x="19"/>
        <item x="14"/>
        <item x="4"/>
        <item x="3"/>
        <item x="28"/>
        <item x="32"/>
        <item x="20"/>
        <item x="8"/>
        <item x="1"/>
        <item x="23"/>
        <item x="25"/>
        <item x="6"/>
        <item x="0"/>
        <item x="13"/>
        <item x="11"/>
        <item x="22"/>
        <item x="26"/>
        <item x="17"/>
        <item x="5"/>
        <item x="18"/>
        <item x="2"/>
        <item x="33"/>
        <item x="15"/>
        <item x="16"/>
        <item x="21"/>
        <item x="7"/>
        <item x="12"/>
        <item x="27"/>
        <item x="31"/>
        <item x="30"/>
        <item x="10"/>
        <item x="24"/>
        <item t="default"/>
      </items>
    </pivotField>
    <pivotField showAll="0">
      <items count="6">
        <item x="4"/>
        <item x="0"/>
        <item x="3"/>
        <item x="1"/>
        <item x="2"/>
        <item t="default"/>
      </items>
    </pivotField>
    <pivotField showAll="0">
      <items count="5">
        <item x="2"/>
        <item x="3"/>
        <item x="0"/>
        <item x="1"/>
        <item t="default"/>
      </items>
    </pivotField>
    <pivotField showAll="0">
      <items count="3">
        <item x="0"/>
        <item x="1"/>
        <item t="default"/>
      </items>
    </pivotField>
    <pivotField showAll="0">
      <items count="300">
        <item x="159"/>
        <item x="53"/>
        <item x="256"/>
        <item x="287"/>
        <item x="147"/>
        <item x="126"/>
        <item x="220"/>
        <item x="163"/>
        <item x="193"/>
        <item x="93"/>
        <item x="80"/>
        <item x="158"/>
        <item x="170"/>
        <item x="139"/>
        <item x="127"/>
        <item x="291"/>
        <item x="95"/>
        <item x="169"/>
        <item x="216"/>
        <item x="242"/>
        <item x="153"/>
        <item x="75"/>
        <item x="67"/>
        <item x="107"/>
        <item x="68"/>
        <item x="243"/>
        <item x="186"/>
        <item x="73"/>
        <item x="108"/>
        <item x="39"/>
        <item x="13"/>
        <item x="74"/>
        <item x="16"/>
        <item x="292"/>
        <item x="250"/>
        <item x="149"/>
        <item x="148"/>
        <item x="6"/>
        <item x="179"/>
        <item x="168"/>
        <item x="181"/>
        <item x="105"/>
        <item x="48"/>
        <item x="113"/>
        <item x="19"/>
        <item x="275"/>
        <item x="173"/>
        <item x="24"/>
        <item x="239"/>
        <item x="136"/>
        <item x="37"/>
        <item x="58"/>
        <item x="155"/>
        <item x="46"/>
        <item x="110"/>
        <item x="212"/>
        <item x="137"/>
        <item x="226"/>
        <item x="27"/>
        <item x="224"/>
        <item x="90"/>
        <item x="295"/>
        <item x="172"/>
        <item x="164"/>
        <item x="30"/>
        <item x="77"/>
        <item x="23"/>
        <item x="87"/>
        <item x="254"/>
        <item x="245"/>
        <item x="209"/>
        <item x="71"/>
        <item x="115"/>
        <item x="2"/>
        <item x="5"/>
        <item x="200"/>
        <item x="85"/>
        <item x="274"/>
        <item x="281"/>
        <item x="134"/>
        <item x="202"/>
        <item x="98"/>
        <item x="296"/>
        <item x="228"/>
        <item x="232"/>
        <item x="146"/>
        <item x="128"/>
        <item x="51"/>
        <item x="206"/>
        <item x="270"/>
        <item x="132"/>
        <item x="236"/>
        <item x="145"/>
        <item x="286"/>
        <item x="91"/>
        <item x="92"/>
        <item x="84"/>
        <item x="201"/>
        <item x="252"/>
        <item x="66"/>
        <item x="116"/>
        <item x="251"/>
        <item x="255"/>
        <item x="9"/>
        <item x="41"/>
        <item x="34"/>
        <item x="195"/>
        <item x="29"/>
        <item x="192"/>
        <item x="122"/>
        <item x="191"/>
        <item x="253"/>
        <item x="194"/>
        <item x="133"/>
        <item x="211"/>
        <item x="20"/>
        <item x="22"/>
        <item x="52"/>
        <item x="121"/>
        <item x="235"/>
        <item x="215"/>
        <item x="273"/>
        <item x="298"/>
        <item x="130"/>
        <item x="97"/>
        <item x="54"/>
        <item x="260"/>
        <item x="225"/>
        <item x="142"/>
        <item x="218"/>
        <item x="284"/>
        <item x="28"/>
        <item x="237"/>
        <item x="140"/>
        <item x="21"/>
        <item x="264"/>
        <item x="138"/>
        <item x="184"/>
        <item x="83"/>
        <item x="266"/>
        <item x="117"/>
        <item x="198"/>
        <item x="94"/>
        <item x="31"/>
        <item x="120"/>
        <item x="175"/>
        <item x="234"/>
        <item x="290"/>
        <item x="143"/>
        <item x="240"/>
        <item x="222"/>
        <item x="167"/>
        <item x="162"/>
        <item x="277"/>
        <item x="227"/>
        <item x="229"/>
        <item x="276"/>
        <item x="208"/>
        <item x="197"/>
        <item x="4"/>
        <item x="283"/>
        <item x="26"/>
        <item x="141"/>
        <item x="297"/>
        <item x="61"/>
        <item x="269"/>
        <item x="10"/>
        <item x="189"/>
        <item x="82"/>
        <item x="103"/>
        <item x="99"/>
        <item x="271"/>
        <item x="180"/>
        <item x="214"/>
        <item x="118"/>
        <item x="182"/>
        <item x="86"/>
        <item x="45"/>
        <item x="62"/>
        <item x="129"/>
        <item x="42"/>
        <item x="18"/>
        <item x="59"/>
        <item x="204"/>
        <item x="272"/>
        <item x="231"/>
        <item x="0"/>
        <item x="267"/>
        <item x="43"/>
        <item x="151"/>
        <item x="38"/>
        <item x="249"/>
        <item x="78"/>
        <item x="166"/>
        <item x="213"/>
        <item x="81"/>
        <item x="17"/>
        <item x="72"/>
        <item x="88"/>
        <item x="261"/>
        <item x="1"/>
        <item x="47"/>
        <item x="70"/>
        <item x="196"/>
        <item x="293"/>
        <item x="289"/>
        <item x="69"/>
        <item x="65"/>
        <item x="294"/>
        <item x="247"/>
        <item x="185"/>
        <item x="57"/>
        <item x="187"/>
        <item x="190"/>
        <item x="11"/>
        <item x="32"/>
        <item x="280"/>
        <item x="44"/>
        <item x="36"/>
        <item x="161"/>
        <item x="104"/>
        <item x="144"/>
        <item x="262"/>
        <item x="210"/>
        <item x="285"/>
        <item x="268"/>
        <item x="165"/>
        <item x="176"/>
        <item x="183"/>
        <item x="241"/>
        <item x="3"/>
        <item x="174"/>
        <item x="123"/>
        <item x="257"/>
        <item x="219"/>
        <item x="259"/>
        <item x="7"/>
        <item x="177"/>
        <item x="223"/>
        <item x="64"/>
        <item x="203"/>
        <item x="265"/>
        <item x="111"/>
        <item x="157"/>
        <item x="238"/>
        <item x="50"/>
        <item x="135"/>
        <item x="101"/>
        <item x="244"/>
        <item x="125"/>
        <item x="25"/>
        <item x="217"/>
        <item x="112"/>
        <item x="279"/>
        <item x="35"/>
        <item x="56"/>
        <item x="282"/>
        <item x="124"/>
        <item x="221"/>
        <item x="12"/>
        <item x="152"/>
        <item x="288"/>
        <item x="178"/>
        <item x="8"/>
        <item x="100"/>
        <item x="119"/>
        <item x="40"/>
        <item x="76"/>
        <item x="109"/>
        <item x="233"/>
        <item x="156"/>
        <item x="230"/>
        <item x="79"/>
        <item x="15"/>
        <item x="154"/>
        <item x="207"/>
        <item x="33"/>
        <item x="188"/>
        <item x="89"/>
        <item x="171"/>
        <item x="49"/>
        <item x="160"/>
        <item x="96"/>
        <item x="199"/>
        <item x="63"/>
        <item x="246"/>
        <item x="205"/>
        <item x="258"/>
        <item x="60"/>
        <item x="263"/>
        <item x="106"/>
        <item x="248"/>
        <item x="150"/>
        <item x="102"/>
        <item x="14"/>
        <item x="55"/>
        <item x="131"/>
        <item x="114"/>
        <item x="278"/>
        <item t="default"/>
      </items>
    </pivotField>
    <pivotField showAll="0">
      <items count="290">
        <item x="274"/>
        <item x="221"/>
        <item x="188"/>
        <item x="256"/>
        <item x="88"/>
        <item x="233"/>
        <item x="237"/>
        <item x="257"/>
        <item x="36"/>
        <item x="0"/>
        <item x="60"/>
        <item x="65"/>
        <item x="18"/>
        <item x="78"/>
        <item x="110"/>
        <item x="95"/>
        <item x="180"/>
        <item x="167"/>
        <item x="41"/>
        <item x="72"/>
        <item x="46"/>
        <item x="203"/>
        <item x="86"/>
        <item x="25"/>
        <item x="14"/>
        <item x="236"/>
        <item x="52"/>
        <item x="26"/>
        <item x="282"/>
        <item x="182"/>
        <item x="218"/>
        <item x="74"/>
        <item x="170"/>
        <item x="242"/>
        <item x="166"/>
        <item x="27"/>
        <item x="175"/>
        <item x="247"/>
        <item x="85"/>
        <item x="121"/>
        <item x="32"/>
        <item x="143"/>
        <item x="240"/>
        <item x="3"/>
        <item x="269"/>
        <item x="79"/>
        <item x="39"/>
        <item x="230"/>
        <item x="200"/>
        <item x="4"/>
        <item x="145"/>
        <item x="19"/>
        <item x="219"/>
        <item x="174"/>
        <item x="9"/>
        <item x="108"/>
        <item x="223"/>
        <item x="183"/>
        <item x="97"/>
        <item x="272"/>
        <item x="118"/>
        <item x="51"/>
        <item x="31"/>
        <item x="127"/>
        <item x="99"/>
        <item x="208"/>
        <item x="148"/>
        <item x="96"/>
        <item x="250"/>
        <item x="77"/>
        <item x="115"/>
        <item x="260"/>
        <item x="83"/>
        <item x="206"/>
        <item x="229"/>
        <item x="90"/>
        <item x="21"/>
        <item x="71"/>
        <item x="136"/>
        <item x="191"/>
        <item x="162"/>
        <item x="172"/>
        <item x="130"/>
        <item x="146"/>
        <item x="187"/>
        <item x="288"/>
        <item x="213"/>
        <item x="224"/>
        <item x="82"/>
        <item x="149"/>
        <item x="270"/>
        <item x="265"/>
        <item x="184"/>
        <item x="47"/>
        <item x="64"/>
        <item x="234"/>
        <item x="58"/>
        <item x="255"/>
        <item x="278"/>
        <item x="114"/>
        <item x="57"/>
        <item x="56"/>
        <item x="263"/>
        <item x="165"/>
        <item x="8"/>
        <item x="50"/>
        <item x="138"/>
        <item x="190"/>
        <item x="150"/>
        <item x="91"/>
        <item x="207"/>
        <item x="156"/>
        <item x="199"/>
        <item x="211"/>
        <item x="144"/>
        <item x="123"/>
        <item x="246"/>
        <item x="176"/>
        <item x="259"/>
        <item x="252"/>
        <item x="92"/>
        <item x="133"/>
        <item x="38"/>
        <item x="54"/>
        <item x="193"/>
        <item x="17"/>
        <item x="125"/>
        <item x="198"/>
        <item x="258"/>
        <item x="243"/>
        <item x="178"/>
        <item x="201"/>
        <item x="264"/>
        <item x="20"/>
        <item x="163"/>
        <item x="103"/>
        <item x="104"/>
        <item x="124"/>
        <item x="139"/>
        <item x="6"/>
        <item x="151"/>
        <item x="142"/>
        <item x="13"/>
        <item x="251"/>
        <item x="231"/>
        <item x="169"/>
        <item x="266"/>
        <item x="286"/>
        <item x="93"/>
        <item x="153"/>
        <item x="16"/>
        <item x="189"/>
        <item x="23"/>
        <item x="117"/>
        <item x="235"/>
        <item x="120"/>
        <item x="75"/>
        <item x="53"/>
        <item x="1"/>
        <item x="76"/>
        <item x="284"/>
        <item x="275"/>
        <item x="131"/>
        <item x="177"/>
        <item x="12"/>
        <item x="63"/>
        <item x="87"/>
        <item x="164"/>
        <item x="94"/>
        <item x="196"/>
        <item x="33"/>
        <item x="128"/>
        <item x="49"/>
        <item x="155"/>
        <item x="2"/>
        <item x="244"/>
        <item x="267"/>
        <item x="273"/>
        <item x="109"/>
        <item x="277"/>
        <item x="132"/>
        <item x="212"/>
        <item x="186"/>
        <item x="105"/>
        <item x="159"/>
        <item x="37"/>
        <item x="226"/>
        <item x="210"/>
        <item x="73"/>
        <item x="100"/>
        <item x="276"/>
        <item x="129"/>
        <item x="10"/>
        <item x="171"/>
        <item x="141"/>
        <item x="147"/>
        <item x="135"/>
        <item x="152"/>
        <item x="192"/>
        <item x="249"/>
        <item x="195"/>
        <item x="227"/>
        <item x="126"/>
        <item x="228"/>
        <item x="70"/>
        <item x="157"/>
        <item x="106"/>
        <item x="29"/>
        <item x="81"/>
        <item x="241"/>
        <item x="30"/>
        <item x="111"/>
        <item x="215"/>
        <item x="44"/>
        <item x="173"/>
        <item x="22"/>
        <item x="239"/>
        <item x="113"/>
        <item x="67"/>
        <item x="48"/>
        <item x="122"/>
        <item x="217"/>
        <item x="238"/>
        <item x="101"/>
        <item x="287"/>
        <item x="80"/>
        <item x="271"/>
        <item x="158"/>
        <item x="140"/>
        <item x="34"/>
        <item x="98"/>
        <item x="194"/>
        <item x="134"/>
        <item x="55"/>
        <item x="116"/>
        <item x="222"/>
        <item x="11"/>
        <item x="66"/>
        <item x="248"/>
        <item x="209"/>
        <item x="185"/>
        <item x="283"/>
        <item x="245"/>
        <item x="107"/>
        <item x="102"/>
        <item x="42"/>
        <item x="179"/>
        <item x="181"/>
        <item x="7"/>
        <item x="261"/>
        <item x="137"/>
        <item x="225"/>
        <item x="62"/>
        <item x="205"/>
        <item x="204"/>
        <item x="160"/>
        <item x="285"/>
        <item x="15"/>
        <item x="5"/>
        <item x="112"/>
        <item x="45"/>
        <item x="214"/>
        <item x="84"/>
        <item x="28"/>
        <item x="254"/>
        <item x="168"/>
        <item x="216"/>
        <item x="35"/>
        <item x="220"/>
        <item x="61"/>
        <item x="268"/>
        <item x="68"/>
        <item x="253"/>
        <item x="161"/>
        <item x="280"/>
        <item x="202"/>
        <item x="24"/>
        <item x="43"/>
        <item x="59"/>
        <item x="119"/>
        <item x="69"/>
        <item x="279"/>
        <item x="262"/>
        <item x="197"/>
        <item x="154"/>
        <item x="89"/>
        <item x="232"/>
        <item x="40"/>
        <item x="281"/>
        <item t="default"/>
      </items>
    </pivotField>
    <pivotField showAll="0"/>
    <pivotField dataField="1" showAll="0">
      <items count="6">
        <item x="2"/>
        <item x="1"/>
        <item x="4"/>
        <item x="3"/>
        <item x="0"/>
        <item t="default"/>
      </items>
    </pivotField>
    <pivotField showAll="0">
      <items count="5">
        <item x="2"/>
        <item x="1"/>
        <item x="3"/>
        <item x="0"/>
        <item t="default"/>
      </items>
    </pivotField>
    <pivotField showAll="0">
      <items count="3">
        <item x="0"/>
        <item x="1"/>
        <item t="default"/>
      </items>
    </pivotField>
    <pivotField showAll="0"/>
    <pivotField showAll="0"/>
    <pivotField showAll="0">
      <items count="11">
        <item m="1" x="9"/>
        <item x="0"/>
        <item x="3"/>
        <item x="7"/>
        <item x="5"/>
        <item x="1"/>
        <item x="2"/>
        <item x="6"/>
        <item x="4"/>
        <item x="8"/>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1"/>
  </rowFields>
  <rowItems count="3">
    <i>
      <x/>
    </i>
    <i>
      <x v="1"/>
    </i>
    <i t="grand">
      <x/>
    </i>
  </rowItems>
  <colItems count="1">
    <i/>
  </colItems>
  <dataFields count="1">
    <dataField name="Average of Performance_Rating" fld="9" subtotal="average" baseField="1" baseItem="0"/>
  </dataFields>
  <formats count="8">
    <format dxfId="15">
      <pivotArea outline="0" collapsedLevelsAreSubtotals="1" fieldPosition="0"/>
    </format>
    <format dxfId="14">
      <pivotArea grandRow="1" outline="0" collapsedLevelsAreSubtotals="1" fieldPosition="0"/>
    </format>
    <format dxfId="13">
      <pivotArea type="all" dataOnly="0" outline="0" fieldPosition="0"/>
    </format>
    <format dxfId="12">
      <pivotArea outline="0" collapsedLevelsAreSubtotals="1" fieldPosition="0"/>
    </format>
    <format dxfId="11">
      <pivotArea field="1" type="button" dataOnly="0" labelOnly="1" outline="0" axis="axisRow" fieldPosition="0"/>
    </format>
    <format dxfId="10">
      <pivotArea dataOnly="0" labelOnly="1" fieldPosition="0">
        <references count="1">
          <reference field="1" count="0"/>
        </references>
      </pivotArea>
    </format>
    <format dxfId="9">
      <pivotArea dataOnly="0" labelOnly="1" grandRow="1" outline="0" fieldPosition="0"/>
    </format>
    <format dxfId="8">
      <pivotArea dataOnly="0" labelOnly="1" outline="0" axis="axisValues" fieldPosition="0"/>
    </format>
  </formats>
  <chartFormats count="1">
    <chartFormat chart="21"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8E2DC2-3D45-4558-BCB7-C85713973D85}" name="HiringLEF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23:B33" firstHeaderRow="1" firstDataRow="1" firstDataCol="1"/>
  <pivotFields count="18">
    <pivotField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items count="3">
        <item x="1"/>
        <item x="0"/>
        <item t="default"/>
      </items>
    </pivotField>
    <pivotField showAll="0"/>
    <pivotField showAll="0">
      <items count="6">
        <item x="4"/>
        <item x="0"/>
        <item x="3"/>
        <item x="1"/>
        <item x="2"/>
        <item t="default"/>
      </items>
    </pivotField>
    <pivotField showAll="0">
      <items count="5">
        <item x="2"/>
        <item x="3"/>
        <item x="0"/>
        <item x="1"/>
        <item t="default"/>
      </items>
    </pivotField>
    <pivotField showAll="0">
      <items count="3">
        <item x="0"/>
        <item x="1"/>
        <item t="default"/>
      </items>
    </pivotField>
    <pivotField showAll="0">
      <items count="300">
        <item x="159"/>
        <item x="53"/>
        <item x="256"/>
        <item x="287"/>
        <item x="147"/>
        <item x="126"/>
        <item x="220"/>
        <item x="163"/>
        <item x="193"/>
        <item x="93"/>
        <item x="80"/>
        <item x="158"/>
        <item x="170"/>
        <item x="139"/>
        <item x="127"/>
        <item x="291"/>
        <item x="95"/>
        <item x="169"/>
        <item x="216"/>
        <item x="242"/>
        <item x="153"/>
        <item x="75"/>
        <item x="67"/>
        <item x="107"/>
        <item x="68"/>
        <item x="243"/>
        <item x="186"/>
        <item x="73"/>
        <item x="108"/>
        <item x="39"/>
        <item x="13"/>
        <item x="74"/>
        <item x="16"/>
        <item x="292"/>
        <item x="250"/>
        <item x="149"/>
        <item x="148"/>
        <item x="6"/>
        <item x="179"/>
        <item x="168"/>
        <item x="181"/>
        <item x="105"/>
        <item x="48"/>
        <item x="113"/>
        <item x="19"/>
        <item x="275"/>
        <item x="173"/>
        <item x="24"/>
        <item x="239"/>
        <item x="136"/>
        <item x="37"/>
        <item x="58"/>
        <item x="155"/>
        <item x="46"/>
        <item x="110"/>
        <item x="212"/>
        <item x="137"/>
        <item x="226"/>
        <item x="27"/>
        <item x="224"/>
        <item x="90"/>
        <item x="295"/>
        <item x="172"/>
        <item x="164"/>
        <item x="30"/>
        <item x="77"/>
        <item x="23"/>
        <item x="87"/>
        <item x="254"/>
        <item x="245"/>
        <item x="209"/>
        <item x="71"/>
        <item x="115"/>
        <item x="2"/>
        <item x="5"/>
        <item x="200"/>
        <item x="85"/>
        <item x="274"/>
        <item x="281"/>
        <item x="134"/>
        <item x="202"/>
        <item x="98"/>
        <item x="296"/>
        <item x="228"/>
        <item x="232"/>
        <item x="146"/>
        <item x="128"/>
        <item x="51"/>
        <item x="206"/>
        <item x="270"/>
        <item x="132"/>
        <item x="236"/>
        <item x="145"/>
        <item x="286"/>
        <item x="91"/>
        <item x="92"/>
        <item x="84"/>
        <item x="201"/>
        <item x="252"/>
        <item x="66"/>
        <item x="116"/>
        <item x="251"/>
        <item x="255"/>
        <item x="9"/>
        <item x="41"/>
        <item x="34"/>
        <item x="195"/>
        <item x="29"/>
        <item x="192"/>
        <item x="122"/>
        <item x="191"/>
        <item x="253"/>
        <item x="194"/>
        <item x="133"/>
        <item x="211"/>
        <item x="20"/>
        <item x="22"/>
        <item x="52"/>
        <item x="121"/>
        <item x="235"/>
        <item x="215"/>
        <item x="273"/>
        <item x="298"/>
        <item x="130"/>
        <item x="97"/>
        <item x="54"/>
        <item x="260"/>
        <item x="225"/>
        <item x="142"/>
        <item x="218"/>
        <item x="284"/>
        <item x="28"/>
        <item x="237"/>
        <item x="140"/>
        <item x="21"/>
        <item x="264"/>
        <item x="138"/>
        <item x="184"/>
        <item x="83"/>
        <item x="266"/>
        <item x="117"/>
        <item x="198"/>
        <item x="94"/>
        <item x="31"/>
        <item x="120"/>
        <item x="175"/>
        <item x="234"/>
        <item x="290"/>
        <item x="143"/>
        <item x="240"/>
        <item x="222"/>
        <item x="167"/>
        <item x="162"/>
        <item x="277"/>
        <item x="227"/>
        <item x="229"/>
        <item x="276"/>
        <item x="208"/>
        <item x="197"/>
        <item x="4"/>
        <item x="283"/>
        <item x="26"/>
        <item x="141"/>
        <item x="297"/>
        <item x="61"/>
        <item x="269"/>
        <item x="10"/>
        <item x="189"/>
        <item x="82"/>
        <item x="103"/>
        <item x="99"/>
        <item x="271"/>
        <item x="180"/>
        <item x="214"/>
        <item x="118"/>
        <item x="182"/>
        <item x="86"/>
        <item x="45"/>
        <item x="62"/>
        <item x="129"/>
        <item x="42"/>
        <item x="18"/>
        <item x="59"/>
        <item x="204"/>
        <item x="272"/>
        <item x="231"/>
        <item x="0"/>
        <item x="267"/>
        <item x="43"/>
        <item x="151"/>
        <item x="38"/>
        <item x="249"/>
        <item x="78"/>
        <item x="166"/>
        <item x="213"/>
        <item x="81"/>
        <item x="17"/>
        <item x="72"/>
        <item x="88"/>
        <item x="261"/>
        <item x="1"/>
        <item x="47"/>
        <item x="70"/>
        <item x="196"/>
        <item x="293"/>
        <item x="289"/>
        <item x="69"/>
        <item x="65"/>
        <item x="294"/>
        <item x="247"/>
        <item x="185"/>
        <item x="57"/>
        <item x="187"/>
        <item x="190"/>
        <item x="11"/>
        <item x="32"/>
        <item x="280"/>
        <item x="44"/>
        <item x="36"/>
        <item x="161"/>
        <item x="104"/>
        <item x="144"/>
        <item x="262"/>
        <item x="210"/>
        <item x="285"/>
        <item x="268"/>
        <item x="165"/>
        <item x="176"/>
        <item x="183"/>
        <item x="241"/>
        <item x="3"/>
        <item x="174"/>
        <item x="123"/>
        <item x="257"/>
        <item x="219"/>
        <item x="259"/>
        <item x="7"/>
        <item x="177"/>
        <item x="223"/>
        <item x="64"/>
        <item x="203"/>
        <item x="265"/>
        <item x="111"/>
        <item x="157"/>
        <item x="238"/>
        <item x="50"/>
        <item x="135"/>
        <item x="101"/>
        <item x="244"/>
        <item x="125"/>
        <item x="25"/>
        <item x="217"/>
        <item x="112"/>
        <item x="279"/>
        <item x="35"/>
        <item x="56"/>
        <item x="282"/>
        <item x="124"/>
        <item x="221"/>
        <item x="12"/>
        <item x="152"/>
        <item x="288"/>
        <item x="178"/>
        <item x="8"/>
        <item x="100"/>
        <item x="119"/>
        <item x="40"/>
        <item x="76"/>
        <item x="109"/>
        <item x="233"/>
        <item x="156"/>
        <item x="230"/>
        <item x="79"/>
        <item x="15"/>
        <item x="154"/>
        <item x="207"/>
        <item x="33"/>
        <item x="188"/>
        <item x="89"/>
        <item x="171"/>
        <item x="49"/>
        <item x="160"/>
        <item x="96"/>
        <item x="199"/>
        <item x="63"/>
        <item x="246"/>
        <item x="205"/>
        <item x="258"/>
        <item x="60"/>
        <item x="263"/>
        <item x="106"/>
        <item x="248"/>
        <item x="150"/>
        <item x="102"/>
        <item x="14"/>
        <item x="55"/>
        <item x="131"/>
        <item x="114"/>
        <item x="278"/>
        <item t="default"/>
      </items>
    </pivotField>
    <pivotField showAll="0">
      <items count="290">
        <item x="274"/>
        <item x="221"/>
        <item x="188"/>
        <item x="256"/>
        <item x="88"/>
        <item x="233"/>
        <item x="237"/>
        <item x="257"/>
        <item x="36"/>
        <item x="0"/>
        <item x="60"/>
        <item x="65"/>
        <item x="18"/>
        <item x="78"/>
        <item x="110"/>
        <item x="95"/>
        <item x="180"/>
        <item x="167"/>
        <item x="41"/>
        <item x="72"/>
        <item x="46"/>
        <item x="203"/>
        <item x="86"/>
        <item x="25"/>
        <item x="14"/>
        <item x="236"/>
        <item x="52"/>
        <item x="26"/>
        <item x="282"/>
        <item x="182"/>
        <item x="218"/>
        <item x="74"/>
        <item x="170"/>
        <item x="242"/>
        <item x="166"/>
        <item x="27"/>
        <item x="175"/>
        <item x="247"/>
        <item x="85"/>
        <item x="121"/>
        <item x="32"/>
        <item x="143"/>
        <item x="240"/>
        <item x="3"/>
        <item x="269"/>
        <item x="79"/>
        <item x="39"/>
        <item x="230"/>
        <item x="200"/>
        <item x="4"/>
        <item x="145"/>
        <item x="19"/>
        <item x="219"/>
        <item x="174"/>
        <item x="9"/>
        <item x="108"/>
        <item x="223"/>
        <item x="183"/>
        <item x="97"/>
        <item x="272"/>
        <item x="118"/>
        <item x="51"/>
        <item x="31"/>
        <item x="127"/>
        <item x="99"/>
        <item x="208"/>
        <item x="148"/>
        <item x="96"/>
        <item x="250"/>
        <item x="77"/>
        <item x="115"/>
        <item x="260"/>
        <item x="83"/>
        <item x="206"/>
        <item x="229"/>
        <item x="90"/>
        <item x="21"/>
        <item x="71"/>
        <item x="136"/>
        <item x="191"/>
        <item x="162"/>
        <item x="172"/>
        <item x="130"/>
        <item x="146"/>
        <item x="187"/>
        <item x="288"/>
        <item x="213"/>
        <item x="224"/>
        <item x="82"/>
        <item x="149"/>
        <item x="270"/>
        <item x="265"/>
        <item x="184"/>
        <item x="47"/>
        <item x="64"/>
        <item x="234"/>
        <item x="58"/>
        <item x="255"/>
        <item x="278"/>
        <item x="114"/>
        <item x="57"/>
        <item x="56"/>
        <item x="263"/>
        <item x="165"/>
        <item x="8"/>
        <item x="50"/>
        <item x="138"/>
        <item x="190"/>
        <item x="150"/>
        <item x="91"/>
        <item x="207"/>
        <item x="156"/>
        <item x="199"/>
        <item x="211"/>
        <item x="144"/>
        <item x="123"/>
        <item x="246"/>
        <item x="176"/>
        <item x="259"/>
        <item x="252"/>
        <item x="92"/>
        <item x="133"/>
        <item x="38"/>
        <item x="54"/>
        <item x="193"/>
        <item x="17"/>
        <item x="125"/>
        <item x="198"/>
        <item x="258"/>
        <item x="243"/>
        <item x="178"/>
        <item x="201"/>
        <item x="264"/>
        <item x="20"/>
        <item x="163"/>
        <item x="103"/>
        <item x="104"/>
        <item x="124"/>
        <item x="139"/>
        <item x="6"/>
        <item x="151"/>
        <item x="142"/>
        <item x="13"/>
        <item x="251"/>
        <item x="231"/>
        <item x="169"/>
        <item x="266"/>
        <item x="286"/>
        <item x="93"/>
        <item x="153"/>
        <item x="16"/>
        <item x="189"/>
        <item x="23"/>
        <item x="117"/>
        <item x="235"/>
        <item x="120"/>
        <item x="75"/>
        <item x="53"/>
        <item x="1"/>
        <item x="76"/>
        <item x="284"/>
        <item x="275"/>
        <item x="131"/>
        <item x="177"/>
        <item x="12"/>
        <item x="63"/>
        <item x="87"/>
        <item x="164"/>
        <item x="94"/>
        <item x="196"/>
        <item x="33"/>
        <item x="128"/>
        <item x="49"/>
        <item x="155"/>
        <item x="2"/>
        <item x="244"/>
        <item x="267"/>
        <item x="273"/>
        <item x="109"/>
        <item x="277"/>
        <item x="132"/>
        <item x="212"/>
        <item x="186"/>
        <item x="105"/>
        <item x="159"/>
        <item x="37"/>
        <item x="226"/>
        <item x="210"/>
        <item x="73"/>
        <item x="100"/>
        <item x="276"/>
        <item x="129"/>
        <item x="10"/>
        <item x="171"/>
        <item x="141"/>
        <item x="147"/>
        <item x="135"/>
        <item x="152"/>
        <item x="192"/>
        <item x="249"/>
        <item x="195"/>
        <item x="227"/>
        <item x="126"/>
        <item x="228"/>
        <item x="70"/>
        <item x="157"/>
        <item x="106"/>
        <item x="29"/>
        <item x="81"/>
        <item x="241"/>
        <item x="30"/>
        <item x="111"/>
        <item x="215"/>
        <item x="44"/>
        <item x="173"/>
        <item x="22"/>
        <item x="239"/>
        <item x="113"/>
        <item x="67"/>
        <item x="48"/>
        <item x="122"/>
        <item x="217"/>
        <item x="238"/>
        <item x="101"/>
        <item x="287"/>
        <item x="80"/>
        <item x="271"/>
        <item x="158"/>
        <item x="140"/>
        <item x="34"/>
        <item x="98"/>
        <item x="194"/>
        <item x="134"/>
        <item x="55"/>
        <item x="116"/>
        <item x="222"/>
        <item x="11"/>
        <item x="66"/>
        <item x="248"/>
        <item x="209"/>
        <item x="185"/>
        <item x="283"/>
        <item x="245"/>
        <item x="107"/>
        <item x="102"/>
        <item x="42"/>
        <item x="179"/>
        <item x="181"/>
        <item x="7"/>
        <item x="261"/>
        <item x="137"/>
        <item x="225"/>
        <item x="62"/>
        <item x="205"/>
        <item x="204"/>
        <item x="160"/>
        <item x="285"/>
        <item x="15"/>
        <item x="5"/>
        <item x="112"/>
        <item x="45"/>
        <item x="214"/>
        <item x="84"/>
        <item x="28"/>
        <item x="254"/>
        <item x="168"/>
        <item x="216"/>
        <item x="35"/>
        <item x="220"/>
        <item x="61"/>
        <item x="268"/>
        <item x="68"/>
        <item x="253"/>
        <item x="161"/>
        <item x="280"/>
        <item x="202"/>
        <item x="24"/>
        <item x="43"/>
        <item x="59"/>
        <item x="119"/>
        <item x="69"/>
        <item x="279"/>
        <item x="262"/>
        <item x="197"/>
        <item x="154"/>
        <item x="89"/>
        <item x="232"/>
        <item x="40"/>
        <item x="281"/>
        <item t="default"/>
      </items>
    </pivotField>
    <pivotField dataField="1" showAll="0"/>
    <pivotField showAll="0">
      <items count="6">
        <item x="2"/>
        <item x="1"/>
        <item x="4"/>
        <item x="3"/>
        <item x="0"/>
        <item t="default"/>
      </items>
    </pivotField>
    <pivotField showAll="0">
      <items count="5">
        <item x="2"/>
        <item x="1"/>
        <item x="3"/>
        <item x="0"/>
        <item t="default"/>
      </items>
    </pivotField>
    <pivotField showAll="0">
      <items count="3">
        <item x="0"/>
        <item x="1"/>
        <item t="default"/>
      </items>
    </pivotField>
    <pivotField showAll="0"/>
    <pivotField showAll="0"/>
    <pivotField showAll="0">
      <items count="11">
        <item m="1" x="9"/>
        <item x="0"/>
        <item x="3"/>
        <item x="7"/>
        <item x="5"/>
        <item x="1"/>
        <item x="2"/>
        <item x="6"/>
        <item x="4"/>
        <item x="8"/>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2">
        <item sd="0" x="0"/>
        <item sd="0" x="1"/>
        <item sd="0" x="2"/>
        <item sd="0" x="3"/>
        <item sd="0" x="4"/>
        <item sd="0" x="5"/>
        <item sd="0" x="6"/>
        <item sd="0" x="7"/>
        <item sd="0" x="8"/>
        <item sd="0" x="9"/>
        <item sd="0" x="10"/>
        <item t="default"/>
      </items>
    </pivotField>
  </pivotFields>
  <rowFields count="1">
    <field x="17"/>
  </rowFields>
  <rowItems count="10">
    <i>
      <x v="1"/>
    </i>
    <i>
      <x v="2"/>
    </i>
    <i>
      <x v="3"/>
    </i>
    <i>
      <x v="4"/>
    </i>
    <i>
      <x v="5"/>
    </i>
    <i>
      <x v="6"/>
    </i>
    <i>
      <x v="7"/>
    </i>
    <i>
      <x v="8"/>
    </i>
    <i>
      <x v="9"/>
    </i>
    <i t="grand">
      <x/>
    </i>
  </rowItems>
  <colItems count="1">
    <i/>
  </colItems>
  <dataFields count="1">
    <dataField name="Count of Exit_Date" fld="8" subtotal="count" baseField="0" baseItem="0"/>
  </dataFields>
  <formats count="9">
    <format dxfId="24">
      <pivotArea outline="0" collapsedLevelsAreSubtotals="1" fieldPosition="0"/>
    </format>
    <format dxfId="23">
      <pivotArea grandRow="1" outline="0" collapsedLevelsAreSubtotals="1" fieldPosition="0"/>
    </format>
    <format dxfId="22">
      <pivotArea collapsedLevelsAreSubtotals="1" fieldPosition="0">
        <references count="1">
          <reference field="17" count="9">
            <x v="1"/>
            <x v="2"/>
            <x v="3"/>
            <x v="4"/>
            <x v="5"/>
            <x v="6"/>
            <x v="7"/>
            <x v="8"/>
            <x v="9"/>
          </reference>
        </references>
      </pivotArea>
    </format>
    <format dxfId="21">
      <pivotArea type="all" dataOnly="0" outline="0" fieldPosition="0"/>
    </format>
    <format dxfId="20">
      <pivotArea outline="0" collapsedLevelsAreSubtotals="1" fieldPosition="0"/>
    </format>
    <format dxfId="19">
      <pivotArea field="17" type="button" dataOnly="0" labelOnly="1" outline="0" axis="axisRow" fieldPosition="0"/>
    </format>
    <format dxfId="18">
      <pivotArea dataOnly="0" labelOnly="1" fieldPosition="0">
        <references count="1">
          <reference field="17" count="9">
            <x v="1"/>
            <x v="2"/>
            <x v="3"/>
            <x v="4"/>
            <x v="5"/>
            <x v="6"/>
            <x v="7"/>
            <x v="8"/>
            <x v="9"/>
          </reference>
        </references>
      </pivotArea>
    </format>
    <format dxfId="17">
      <pivotArea dataOnly="0" labelOnly="1" grandRow="1" outline="0" fieldPosition="0"/>
    </format>
    <format dxfId="16">
      <pivotArea dataOnly="0" labelOnly="1" outline="0" axis="axisValues" fieldPosition="0"/>
    </format>
  </formats>
  <chartFormats count="1">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D15FE7-0982-4E28-84E1-2DB03B44FB5F}" name="AVGbyDep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D14:E20" firstHeaderRow="1" firstDataRow="1" firstDataCol="1"/>
  <pivotFields count="18">
    <pivotField showAll="0"/>
    <pivotField showAll="0"/>
    <pivotField showAll="0">
      <items count="35">
        <item x="9"/>
        <item x="29"/>
        <item x="19"/>
        <item x="14"/>
        <item x="4"/>
        <item x="3"/>
        <item x="28"/>
        <item x="32"/>
        <item x="20"/>
        <item x="8"/>
        <item x="1"/>
        <item x="23"/>
        <item x="25"/>
        <item x="6"/>
        <item x="0"/>
        <item x="13"/>
        <item x="11"/>
        <item x="22"/>
        <item x="26"/>
        <item x="17"/>
        <item x="5"/>
        <item x="18"/>
        <item x="2"/>
        <item x="33"/>
        <item x="15"/>
        <item x="16"/>
        <item x="21"/>
        <item x="7"/>
        <item x="12"/>
        <item x="27"/>
        <item x="31"/>
        <item x="30"/>
        <item x="10"/>
        <item x="24"/>
        <item t="default"/>
      </items>
    </pivotField>
    <pivotField axis="axisRow" showAll="0">
      <items count="6">
        <item x="4"/>
        <item x="0"/>
        <item x="3"/>
        <item x="1"/>
        <item x="2"/>
        <item t="default"/>
      </items>
    </pivotField>
    <pivotField showAll="0">
      <items count="5">
        <item x="2"/>
        <item x="3"/>
        <item x="0"/>
        <item x="1"/>
        <item t="default"/>
      </items>
    </pivotField>
    <pivotField showAll="0"/>
    <pivotField dataField="1" showAll="0">
      <items count="300">
        <item x="159"/>
        <item x="53"/>
        <item x="256"/>
        <item x="287"/>
        <item x="147"/>
        <item x="126"/>
        <item x="220"/>
        <item x="163"/>
        <item x="193"/>
        <item x="93"/>
        <item x="80"/>
        <item x="158"/>
        <item x="170"/>
        <item x="139"/>
        <item x="127"/>
        <item x="291"/>
        <item x="95"/>
        <item x="169"/>
        <item x="216"/>
        <item x="242"/>
        <item x="153"/>
        <item x="75"/>
        <item x="67"/>
        <item x="107"/>
        <item x="68"/>
        <item x="243"/>
        <item x="186"/>
        <item x="73"/>
        <item x="108"/>
        <item x="39"/>
        <item x="13"/>
        <item x="74"/>
        <item x="16"/>
        <item x="292"/>
        <item x="250"/>
        <item x="149"/>
        <item x="148"/>
        <item x="6"/>
        <item x="179"/>
        <item x="168"/>
        <item x="181"/>
        <item x="105"/>
        <item x="48"/>
        <item x="113"/>
        <item x="19"/>
        <item x="275"/>
        <item x="173"/>
        <item x="24"/>
        <item x="239"/>
        <item x="136"/>
        <item x="37"/>
        <item x="58"/>
        <item x="155"/>
        <item x="46"/>
        <item x="110"/>
        <item x="212"/>
        <item x="137"/>
        <item x="226"/>
        <item x="27"/>
        <item x="224"/>
        <item x="90"/>
        <item x="295"/>
        <item x="172"/>
        <item x="164"/>
        <item x="30"/>
        <item x="77"/>
        <item x="23"/>
        <item x="87"/>
        <item x="254"/>
        <item x="245"/>
        <item x="209"/>
        <item x="71"/>
        <item x="115"/>
        <item x="2"/>
        <item x="5"/>
        <item x="200"/>
        <item x="85"/>
        <item x="274"/>
        <item x="281"/>
        <item x="134"/>
        <item x="202"/>
        <item x="98"/>
        <item x="296"/>
        <item x="228"/>
        <item x="232"/>
        <item x="146"/>
        <item x="128"/>
        <item x="51"/>
        <item x="206"/>
        <item x="270"/>
        <item x="132"/>
        <item x="236"/>
        <item x="145"/>
        <item x="286"/>
        <item x="91"/>
        <item x="92"/>
        <item x="84"/>
        <item x="201"/>
        <item x="252"/>
        <item x="66"/>
        <item x="116"/>
        <item x="251"/>
        <item x="255"/>
        <item x="9"/>
        <item x="41"/>
        <item x="34"/>
        <item x="195"/>
        <item x="29"/>
        <item x="192"/>
        <item x="122"/>
        <item x="191"/>
        <item x="253"/>
        <item x="194"/>
        <item x="133"/>
        <item x="211"/>
        <item x="20"/>
        <item x="22"/>
        <item x="52"/>
        <item x="121"/>
        <item x="235"/>
        <item x="215"/>
        <item x="273"/>
        <item x="298"/>
        <item x="130"/>
        <item x="97"/>
        <item x="54"/>
        <item x="260"/>
        <item x="225"/>
        <item x="142"/>
        <item x="218"/>
        <item x="284"/>
        <item x="28"/>
        <item x="237"/>
        <item x="140"/>
        <item x="21"/>
        <item x="264"/>
        <item x="138"/>
        <item x="184"/>
        <item x="83"/>
        <item x="266"/>
        <item x="117"/>
        <item x="198"/>
        <item x="94"/>
        <item x="31"/>
        <item x="120"/>
        <item x="175"/>
        <item x="234"/>
        <item x="290"/>
        <item x="143"/>
        <item x="240"/>
        <item x="222"/>
        <item x="167"/>
        <item x="162"/>
        <item x="277"/>
        <item x="227"/>
        <item x="229"/>
        <item x="276"/>
        <item x="208"/>
        <item x="197"/>
        <item x="4"/>
        <item x="283"/>
        <item x="26"/>
        <item x="141"/>
        <item x="297"/>
        <item x="61"/>
        <item x="269"/>
        <item x="10"/>
        <item x="189"/>
        <item x="82"/>
        <item x="103"/>
        <item x="99"/>
        <item x="271"/>
        <item x="180"/>
        <item x="214"/>
        <item x="118"/>
        <item x="182"/>
        <item x="86"/>
        <item x="45"/>
        <item x="62"/>
        <item x="129"/>
        <item x="42"/>
        <item x="18"/>
        <item x="59"/>
        <item x="204"/>
        <item x="272"/>
        <item x="231"/>
        <item x="0"/>
        <item x="267"/>
        <item x="43"/>
        <item x="151"/>
        <item x="38"/>
        <item x="249"/>
        <item x="78"/>
        <item x="166"/>
        <item x="213"/>
        <item x="81"/>
        <item x="17"/>
        <item x="72"/>
        <item x="88"/>
        <item x="261"/>
        <item x="1"/>
        <item x="47"/>
        <item x="70"/>
        <item x="196"/>
        <item x="293"/>
        <item x="289"/>
        <item x="69"/>
        <item x="65"/>
        <item x="294"/>
        <item x="247"/>
        <item x="185"/>
        <item x="57"/>
        <item x="187"/>
        <item x="190"/>
        <item x="11"/>
        <item x="32"/>
        <item x="280"/>
        <item x="44"/>
        <item x="36"/>
        <item x="161"/>
        <item x="104"/>
        <item x="144"/>
        <item x="262"/>
        <item x="210"/>
        <item x="285"/>
        <item x="268"/>
        <item x="165"/>
        <item x="176"/>
        <item x="183"/>
        <item x="241"/>
        <item x="3"/>
        <item x="174"/>
        <item x="123"/>
        <item x="257"/>
        <item x="219"/>
        <item x="259"/>
        <item x="7"/>
        <item x="177"/>
        <item x="223"/>
        <item x="64"/>
        <item x="203"/>
        <item x="265"/>
        <item x="111"/>
        <item x="157"/>
        <item x="238"/>
        <item x="50"/>
        <item x="135"/>
        <item x="101"/>
        <item x="244"/>
        <item x="125"/>
        <item x="25"/>
        <item x="217"/>
        <item x="112"/>
        <item x="279"/>
        <item x="35"/>
        <item x="56"/>
        <item x="282"/>
        <item x="124"/>
        <item x="221"/>
        <item x="12"/>
        <item x="152"/>
        <item x="288"/>
        <item x="178"/>
        <item x="8"/>
        <item x="100"/>
        <item x="119"/>
        <item x="40"/>
        <item x="76"/>
        <item x="109"/>
        <item x="233"/>
        <item x="156"/>
        <item x="230"/>
        <item x="79"/>
        <item x="15"/>
        <item x="154"/>
        <item x="207"/>
        <item x="33"/>
        <item x="188"/>
        <item x="89"/>
        <item x="171"/>
        <item x="49"/>
        <item x="160"/>
        <item x="96"/>
        <item x="199"/>
        <item x="63"/>
        <item x="246"/>
        <item x="205"/>
        <item x="258"/>
        <item x="60"/>
        <item x="263"/>
        <item x="106"/>
        <item x="248"/>
        <item x="150"/>
        <item x="102"/>
        <item x="14"/>
        <item x="55"/>
        <item x="131"/>
        <item x="114"/>
        <item x="278"/>
        <item t="default"/>
      </items>
    </pivotField>
    <pivotField showAll="0">
      <items count="290">
        <item x="274"/>
        <item x="221"/>
        <item x="188"/>
        <item x="256"/>
        <item x="88"/>
        <item x="233"/>
        <item x="237"/>
        <item x="257"/>
        <item x="36"/>
        <item x="0"/>
        <item x="60"/>
        <item x="65"/>
        <item x="18"/>
        <item x="78"/>
        <item x="110"/>
        <item x="95"/>
        <item x="180"/>
        <item x="167"/>
        <item x="41"/>
        <item x="72"/>
        <item x="46"/>
        <item x="203"/>
        <item x="86"/>
        <item x="25"/>
        <item x="14"/>
        <item x="236"/>
        <item x="52"/>
        <item x="26"/>
        <item x="282"/>
        <item x="182"/>
        <item x="218"/>
        <item x="74"/>
        <item x="170"/>
        <item x="242"/>
        <item x="166"/>
        <item x="27"/>
        <item x="175"/>
        <item x="247"/>
        <item x="85"/>
        <item x="121"/>
        <item x="32"/>
        <item x="143"/>
        <item x="240"/>
        <item x="3"/>
        <item x="269"/>
        <item x="79"/>
        <item x="39"/>
        <item x="230"/>
        <item x="200"/>
        <item x="4"/>
        <item x="145"/>
        <item x="19"/>
        <item x="219"/>
        <item x="174"/>
        <item x="9"/>
        <item x="108"/>
        <item x="223"/>
        <item x="183"/>
        <item x="97"/>
        <item x="272"/>
        <item x="118"/>
        <item x="51"/>
        <item x="31"/>
        <item x="127"/>
        <item x="99"/>
        <item x="208"/>
        <item x="148"/>
        <item x="96"/>
        <item x="250"/>
        <item x="77"/>
        <item x="115"/>
        <item x="260"/>
        <item x="83"/>
        <item x="206"/>
        <item x="229"/>
        <item x="90"/>
        <item x="21"/>
        <item x="71"/>
        <item x="136"/>
        <item x="191"/>
        <item x="162"/>
        <item x="172"/>
        <item x="130"/>
        <item x="146"/>
        <item x="187"/>
        <item x="288"/>
        <item x="213"/>
        <item x="224"/>
        <item x="82"/>
        <item x="149"/>
        <item x="270"/>
        <item x="265"/>
        <item x="184"/>
        <item x="47"/>
        <item x="64"/>
        <item x="234"/>
        <item x="58"/>
        <item x="255"/>
        <item x="278"/>
        <item x="114"/>
        <item x="57"/>
        <item x="56"/>
        <item x="263"/>
        <item x="165"/>
        <item x="8"/>
        <item x="50"/>
        <item x="138"/>
        <item x="190"/>
        <item x="150"/>
        <item x="91"/>
        <item x="207"/>
        <item x="156"/>
        <item x="199"/>
        <item x="211"/>
        <item x="144"/>
        <item x="123"/>
        <item x="246"/>
        <item x="176"/>
        <item x="259"/>
        <item x="252"/>
        <item x="92"/>
        <item x="133"/>
        <item x="38"/>
        <item x="54"/>
        <item x="193"/>
        <item x="17"/>
        <item x="125"/>
        <item x="198"/>
        <item x="258"/>
        <item x="243"/>
        <item x="178"/>
        <item x="201"/>
        <item x="264"/>
        <item x="20"/>
        <item x="163"/>
        <item x="103"/>
        <item x="104"/>
        <item x="124"/>
        <item x="139"/>
        <item x="6"/>
        <item x="151"/>
        <item x="142"/>
        <item x="13"/>
        <item x="251"/>
        <item x="231"/>
        <item x="169"/>
        <item x="266"/>
        <item x="286"/>
        <item x="93"/>
        <item x="153"/>
        <item x="16"/>
        <item x="189"/>
        <item x="23"/>
        <item x="117"/>
        <item x="235"/>
        <item x="120"/>
        <item x="75"/>
        <item x="53"/>
        <item x="1"/>
        <item x="76"/>
        <item x="284"/>
        <item x="275"/>
        <item x="131"/>
        <item x="177"/>
        <item x="12"/>
        <item x="63"/>
        <item x="87"/>
        <item x="164"/>
        <item x="94"/>
        <item x="196"/>
        <item x="33"/>
        <item x="128"/>
        <item x="49"/>
        <item x="155"/>
        <item x="2"/>
        <item x="244"/>
        <item x="267"/>
        <item x="273"/>
        <item x="109"/>
        <item x="277"/>
        <item x="132"/>
        <item x="212"/>
        <item x="186"/>
        <item x="105"/>
        <item x="159"/>
        <item x="37"/>
        <item x="226"/>
        <item x="210"/>
        <item x="73"/>
        <item x="100"/>
        <item x="276"/>
        <item x="129"/>
        <item x="10"/>
        <item x="171"/>
        <item x="141"/>
        <item x="147"/>
        <item x="135"/>
        <item x="152"/>
        <item x="192"/>
        <item x="249"/>
        <item x="195"/>
        <item x="227"/>
        <item x="126"/>
        <item x="228"/>
        <item x="70"/>
        <item x="157"/>
        <item x="106"/>
        <item x="29"/>
        <item x="81"/>
        <item x="241"/>
        <item x="30"/>
        <item x="111"/>
        <item x="215"/>
        <item x="44"/>
        <item x="173"/>
        <item x="22"/>
        <item x="239"/>
        <item x="113"/>
        <item x="67"/>
        <item x="48"/>
        <item x="122"/>
        <item x="217"/>
        <item x="238"/>
        <item x="101"/>
        <item x="287"/>
        <item x="80"/>
        <item x="271"/>
        <item x="158"/>
        <item x="140"/>
        <item x="34"/>
        <item x="98"/>
        <item x="194"/>
        <item x="134"/>
        <item x="55"/>
        <item x="116"/>
        <item x="222"/>
        <item x="11"/>
        <item x="66"/>
        <item x="248"/>
        <item x="209"/>
        <item x="185"/>
        <item x="283"/>
        <item x="245"/>
        <item x="107"/>
        <item x="102"/>
        <item x="42"/>
        <item x="179"/>
        <item x="181"/>
        <item x="7"/>
        <item x="261"/>
        <item x="137"/>
        <item x="225"/>
        <item x="62"/>
        <item x="205"/>
        <item x="204"/>
        <item x="160"/>
        <item x="285"/>
        <item x="15"/>
        <item x="5"/>
        <item x="112"/>
        <item x="45"/>
        <item x="214"/>
        <item x="84"/>
        <item x="28"/>
        <item x="254"/>
        <item x="168"/>
        <item x="216"/>
        <item x="35"/>
        <item x="220"/>
        <item x="61"/>
        <item x="268"/>
        <item x="68"/>
        <item x="253"/>
        <item x="161"/>
        <item x="280"/>
        <item x="202"/>
        <item x="24"/>
        <item x="43"/>
        <item x="59"/>
        <item x="119"/>
        <item x="69"/>
        <item x="279"/>
        <item x="262"/>
        <item x="197"/>
        <item x="154"/>
        <item x="89"/>
        <item x="232"/>
        <item x="40"/>
        <item x="281"/>
        <item t="default"/>
      </items>
    </pivotField>
    <pivotField showAll="0"/>
    <pivotField showAll="0"/>
    <pivotField showAll="0"/>
    <pivotField showAll="0">
      <items count="3">
        <item x="0"/>
        <item x="1"/>
        <item t="default"/>
      </items>
    </pivotField>
    <pivotField showAll="0"/>
    <pivotField showAll="0">
      <items count="4">
        <item x="0"/>
        <item x="1"/>
        <item x="2"/>
        <item t="default"/>
      </items>
    </pivotField>
    <pivotField showAll="0">
      <items count="11">
        <item m="1" x="9"/>
        <item x="0"/>
        <item x="3"/>
        <item x="7"/>
        <item x="5"/>
        <item x="1"/>
        <item x="2"/>
        <item x="6"/>
        <item x="4"/>
        <item x="8"/>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3"/>
  </rowFields>
  <rowItems count="6">
    <i>
      <x/>
    </i>
    <i>
      <x v="1"/>
    </i>
    <i>
      <x v="2"/>
    </i>
    <i>
      <x v="3"/>
    </i>
    <i>
      <x v="4"/>
    </i>
    <i t="grand">
      <x/>
    </i>
  </rowItems>
  <colItems count="1">
    <i/>
  </colItems>
  <dataFields count="1">
    <dataField name="Average of Monthly_Salary" fld="6" subtotal="average" baseField="3" baseItem="0" numFmtId="167"/>
  </dataFields>
  <formats count="7">
    <format dxfId="31">
      <pivotArea outline="0" collapsedLevelsAreSubtotals="1" fieldPosition="0"/>
    </format>
    <format dxfId="30">
      <pivotArea type="all" dataOnly="0" outline="0" fieldPosition="0"/>
    </format>
    <format dxfId="29">
      <pivotArea outline="0" collapsedLevelsAreSubtotals="1" fieldPosition="0"/>
    </format>
    <format dxfId="28">
      <pivotArea field="3" type="button" dataOnly="0" labelOnly="1" outline="0" axis="axisRow" fieldPosition="0"/>
    </format>
    <format dxfId="27">
      <pivotArea dataOnly="0" labelOnly="1" fieldPosition="0">
        <references count="1">
          <reference field="3" count="0"/>
        </references>
      </pivotArea>
    </format>
    <format dxfId="26">
      <pivotArea dataOnly="0" labelOnly="1" grandRow="1" outline="0" fieldPosition="0"/>
    </format>
    <format dxfId="25">
      <pivotArea dataOnly="0" labelOnly="1" outline="0" axis="axisValues" fieldPosition="0"/>
    </format>
  </formats>
  <chartFormats count="6">
    <chartFormat chart="19" format="7" series="1">
      <pivotArea type="data" outline="0" fieldPosition="0">
        <references count="1">
          <reference field="4294967294" count="1" selected="0">
            <x v="0"/>
          </reference>
        </references>
      </pivotArea>
    </chartFormat>
    <chartFormat chart="19" format="8">
      <pivotArea type="data" outline="0" fieldPosition="0">
        <references count="2">
          <reference field="4294967294" count="1" selected="0">
            <x v="0"/>
          </reference>
          <reference field="3" count="1" selected="0">
            <x v="0"/>
          </reference>
        </references>
      </pivotArea>
    </chartFormat>
    <chartFormat chart="19" format="9">
      <pivotArea type="data" outline="0" fieldPosition="0">
        <references count="2">
          <reference field="4294967294" count="1" selected="0">
            <x v="0"/>
          </reference>
          <reference field="3" count="1" selected="0">
            <x v="1"/>
          </reference>
        </references>
      </pivotArea>
    </chartFormat>
    <chartFormat chart="19" format="10">
      <pivotArea type="data" outline="0" fieldPosition="0">
        <references count="2">
          <reference field="4294967294" count="1" selected="0">
            <x v="0"/>
          </reference>
          <reference field="3" count="1" selected="0">
            <x v="2"/>
          </reference>
        </references>
      </pivotArea>
    </chartFormat>
    <chartFormat chart="19" format="11">
      <pivotArea type="data" outline="0" fieldPosition="0">
        <references count="2">
          <reference field="4294967294" count="1" selected="0">
            <x v="0"/>
          </reference>
          <reference field="3" count="1" selected="0">
            <x v="3"/>
          </reference>
        </references>
      </pivotArea>
    </chartFormat>
    <chartFormat chart="19"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66CA21-3125-44B8-BA22-A85ABC5F73EA}" name="AbyA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5:E9" firstHeaderRow="1" firstDataRow="1" firstDataCol="1"/>
  <pivotFields count="18">
    <pivotField showAll="0"/>
    <pivotField showAll="0"/>
    <pivotField showAll="0">
      <items count="35">
        <item x="9"/>
        <item x="29"/>
        <item x="19"/>
        <item x="14"/>
        <item x="4"/>
        <item x="3"/>
        <item x="28"/>
        <item x="32"/>
        <item x="20"/>
        <item x="8"/>
        <item x="1"/>
        <item x="23"/>
        <item x="25"/>
        <item x="6"/>
        <item x="0"/>
        <item x="13"/>
        <item x="11"/>
        <item x="22"/>
        <item x="26"/>
        <item x="17"/>
        <item x="5"/>
        <item x="18"/>
        <item x="2"/>
        <item x="33"/>
        <item x="15"/>
        <item x="16"/>
        <item x="21"/>
        <item x="7"/>
        <item x="12"/>
        <item x="27"/>
        <item x="31"/>
        <item x="30"/>
        <item x="10"/>
        <item x="24"/>
        <item t="default"/>
      </items>
    </pivotField>
    <pivotField showAll="0" sortType="descending">
      <items count="6">
        <item x="4"/>
        <item x="0"/>
        <item x="3"/>
        <item x="1"/>
        <item x="2"/>
        <item t="default"/>
      </items>
      <autoSortScope>
        <pivotArea dataOnly="0" outline="0" fieldPosition="0">
          <references count="1">
            <reference field="4294967294" count="1" selected="0">
              <x v="0"/>
            </reference>
          </references>
        </pivotArea>
      </autoSortScope>
    </pivotField>
    <pivotField showAll="0">
      <items count="5">
        <item x="2"/>
        <item x="3"/>
        <item x="0"/>
        <item x="1"/>
        <item t="default"/>
      </items>
    </pivotField>
    <pivotField showAll="0"/>
    <pivotField showAll="0">
      <items count="300">
        <item x="159"/>
        <item x="53"/>
        <item x="256"/>
        <item x="287"/>
        <item x="147"/>
        <item x="126"/>
        <item x="220"/>
        <item x="163"/>
        <item x="193"/>
        <item x="93"/>
        <item x="80"/>
        <item x="158"/>
        <item x="170"/>
        <item x="139"/>
        <item x="127"/>
        <item x="291"/>
        <item x="95"/>
        <item x="169"/>
        <item x="216"/>
        <item x="242"/>
        <item x="153"/>
        <item x="75"/>
        <item x="67"/>
        <item x="107"/>
        <item x="68"/>
        <item x="243"/>
        <item x="186"/>
        <item x="73"/>
        <item x="108"/>
        <item x="39"/>
        <item x="13"/>
        <item x="74"/>
        <item x="16"/>
        <item x="292"/>
        <item x="250"/>
        <item x="149"/>
        <item x="148"/>
        <item x="6"/>
        <item x="179"/>
        <item x="168"/>
        <item x="181"/>
        <item x="105"/>
        <item x="48"/>
        <item x="113"/>
        <item x="19"/>
        <item x="275"/>
        <item x="173"/>
        <item x="24"/>
        <item x="239"/>
        <item x="136"/>
        <item x="37"/>
        <item x="58"/>
        <item x="155"/>
        <item x="46"/>
        <item x="110"/>
        <item x="212"/>
        <item x="137"/>
        <item x="226"/>
        <item x="27"/>
        <item x="224"/>
        <item x="90"/>
        <item x="295"/>
        <item x="172"/>
        <item x="164"/>
        <item x="30"/>
        <item x="77"/>
        <item x="23"/>
        <item x="87"/>
        <item x="254"/>
        <item x="245"/>
        <item x="209"/>
        <item x="71"/>
        <item x="115"/>
        <item x="2"/>
        <item x="5"/>
        <item x="200"/>
        <item x="85"/>
        <item x="274"/>
        <item x="281"/>
        <item x="134"/>
        <item x="202"/>
        <item x="98"/>
        <item x="296"/>
        <item x="228"/>
        <item x="232"/>
        <item x="146"/>
        <item x="128"/>
        <item x="51"/>
        <item x="206"/>
        <item x="270"/>
        <item x="132"/>
        <item x="236"/>
        <item x="145"/>
        <item x="286"/>
        <item x="91"/>
        <item x="92"/>
        <item x="84"/>
        <item x="201"/>
        <item x="252"/>
        <item x="66"/>
        <item x="116"/>
        <item x="251"/>
        <item x="255"/>
        <item x="9"/>
        <item x="41"/>
        <item x="34"/>
        <item x="195"/>
        <item x="29"/>
        <item x="192"/>
        <item x="122"/>
        <item x="191"/>
        <item x="253"/>
        <item x="194"/>
        <item x="133"/>
        <item x="211"/>
        <item x="20"/>
        <item x="22"/>
        <item x="52"/>
        <item x="121"/>
        <item x="235"/>
        <item x="215"/>
        <item x="273"/>
        <item x="298"/>
        <item x="130"/>
        <item x="97"/>
        <item x="54"/>
        <item x="260"/>
        <item x="225"/>
        <item x="142"/>
        <item x="218"/>
        <item x="284"/>
        <item x="28"/>
        <item x="237"/>
        <item x="140"/>
        <item x="21"/>
        <item x="264"/>
        <item x="138"/>
        <item x="184"/>
        <item x="83"/>
        <item x="266"/>
        <item x="117"/>
        <item x="198"/>
        <item x="94"/>
        <item x="31"/>
        <item x="120"/>
        <item x="175"/>
        <item x="234"/>
        <item x="290"/>
        <item x="143"/>
        <item x="240"/>
        <item x="222"/>
        <item x="167"/>
        <item x="162"/>
        <item x="277"/>
        <item x="227"/>
        <item x="229"/>
        <item x="276"/>
        <item x="208"/>
        <item x="197"/>
        <item x="4"/>
        <item x="283"/>
        <item x="26"/>
        <item x="141"/>
        <item x="297"/>
        <item x="61"/>
        <item x="269"/>
        <item x="10"/>
        <item x="189"/>
        <item x="82"/>
        <item x="103"/>
        <item x="99"/>
        <item x="271"/>
        <item x="180"/>
        <item x="214"/>
        <item x="118"/>
        <item x="182"/>
        <item x="86"/>
        <item x="45"/>
        <item x="62"/>
        <item x="129"/>
        <item x="42"/>
        <item x="18"/>
        <item x="59"/>
        <item x="204"/>
        <item x="272"/>
        <item x="231"/>
        <item x="0"/>
        <item x="267"/>
        <item x="43"/>
        <item x="151"/>
        <item x="38"/>
        <item x="249"/>
        <item x="78"/>
        <item x="166"/>
        <item x="213"/>
        <item x="81"/>
        <item x="17"/>
        <item x="72"/>
        <item x="88"/>
        <item x="261"/>
        <item x="1"/>
        <item x="47"/>
        <item x="70"/>
        <item x="196"/>
        <item x="293"/>
        <item x="289"/>
        <item x="69"/>
        <item x="65"/>
        <item x="294"/>
        <item x="247"/>
        <item x="185"/>
        <item x="57"/>
        <item x="187"/>
        <item x="190"/>
        <item x="11"/>
        <item x="32"/>
        <item x="280"/>
        <item x="44"/>
        <item x="36"/>
        <item x="161"/>
        <item x="104"/>
        <item x="144"/>
        <item x="262"/>
        <item x="210"/>
        <item x="285"/>
        <item x="268"/>
        <item x="165"/>
        <item x="176"/>
        <item x="183"/>
        <item x="241"/>
        <item x="3"/>
        <item x="174"/>
        <item x="123"/>
        <item x="257"/>
        <item x="219"/>
        <item x="259"/>
        <item x="7"/>
        <item x="177"/>
        <item x="223"/>
        <item x="64"/>
        <item x="203"/>
        <item x="265"/>
        <item x="111"/>
        <item x="157"/>
        <item x="238"/>
        <item x="50"/>
        <item x="135"/>
        <item x="101"/>
        <item x="244"/>
        <item x="125"/>
        <item x="25"/>
        <item x="217"/>
        <item x="112"/>
        <item x="279"/>
        <item x="35"/>
        <item x="56"/>
        <item x="282"/>
        <item x="124"/>
        <item x="221"/>
        <item x="12"/>
        <item x="152"/>
        <item x="288"/>
        <item x="178"/>
        <item x="8"/>
        <item x="100"/>
        <item x="119"/>
        <item x="40"/>
        <item x="76"/>
        <item x="109"/>
        <item x="233"/>
        <item x="156"/>
        <item x="230"/>
        <item x="79"/>
        <item x="15"/>
        <item x="154"/>
        <item x="207"/>
        <item x="33"/>
        <item x="188"/>
        <item x="89"/>
        <item x="171"/>
        <item x="49"/>
        <item x="160"/>
        <item x="96"/>
        <item x="199"/>
        <item x="63"/>
        <item x="246"/>
        <item x="205"/>
        <item x="258"/>
        <item x="60"/>
        <item x="263"/>
        <item x="106"/>
        <item x="248"/>
        <item x="150"/>
        <item x="102"/>
        <item x="14"/>
        <item x="55"/>
        <item x="131"/>
        <item x="114"/>
        <item x="278"/>
        <item t="default"/>
      </items>
    </pivotField>
    <pivotField showAll="0">
      <items count="290">
        <item x="274"/>
        <item x="221"/>
        <item x="188"/>
        <item x="256"/>
        <item x="88"/>
        <item x="233"/>
        <item x="237"/>
        <item x="257"/>
        <item x="36"/>
        <item x="0"/>
        <item x="60"/>
        <item x="65"/>
        <item x="18"/>
        <item x="78"/>
        <item x="110"/>
        <item x="95"/>
        <item x="180"/>
        <item x="167"/>
        <item x="41"/>
        <item x="72"/>
        <item x="46"/>
        <item x="203"/>
        <item x="86"/>
        <item x="25"/>
        <item x="14"/>
        <item x="236"/>
        <item x="52"/>
        <item x="26"/>
        <item x="282"/>
        <item x="182"/>
        <item x="218"/>
        <item x="74"/>
        <item x="170"/>
        <item x="242"/>
        <item x="166"/>
        <item x="27"/>
        <item x="175"/>
        <item x="247"/>
        <item x="85"/>
        <item x="121"/>
        <item x="32"/>
        <item x="143"/>
        <item x="240"/>
        <item x="3"/>
        <item x="269"/>
        <item x="79"/>
        <item x="39"/>
        <item x="230"/>
        <item x="200"/>
        <item x="4"/>
        <item x="145"/>
        <item x="19"/>
        <item x="219"/>
        <item x="174"/>
        <item x="9"/>
        <item x="108"/>
        <item x="223"/>
        <item x="183"/>
        <item x="97"/>
        <item x="272"/>
        <item x="118"/>
        <item x="51"/>
        <item x="31"/>
        <item x="127"/>
        <item x="99"/>
        <item x="208"/>
        <item x="148"/>
        <item x="96"/>
        <item x="250"/>
        <item x="77"/>
        <item x="115"/>
        <item x="260"/>
        <item x="83"/>
        <item x="206"/>
        <item x="229"/>
        <item x="90"/>
        <item x="21"/>
        <item x="71"/>
        <item x="136"/>
        <item x="191"/>
        <item x="162"/>
        <item x="172"/>
        <item x="130"/>
        <item x="146"/>
        <item x="187"/>
        <item x="288"/>
        <item x="213"/>
        <item x="224"/>
        <item x="82"/>
        <item x="149"/>
        <item x="270"/>
        <item x="265"/>
        <item x="184"/>
        <item x="47"/>
        <item x="64"/>
        <item x="234"/>
        <item x="58"/>
        <item x="255"/>
        <item x="278"/>
        <item x="114"/>
        <item x="57"/>
        <item x="56"/>
        <item x="263"/>
        <item x="165"/>
        <item x="8"/>
        <item x="50"/>
        <item x="138"/>
        <item x="190"/>
        <item x="150"/>
        <item x="91"/>
        <item x="207"/>
        <item x="156"/>
        <item x="199"/>
        <item x="211"/>
        <item x="144"/>
        <item x="123"/>
        <item x="246"/>
        <item x="176"/>
        <item x="259"/>
        <item x="252"/>
        <item x="92"/>
        <item x="133"/>
        <item x="38"/>
        <item x="54"/>
        <item x="193"/>
        <item x="17"/>
        <item x="125"/>
        <item x="198"/>
        <item x="258"/>
        <item x="243"/>
        <item x="178"/>
        <item x="201"/>
        <item x="264"/>
        <item x="20"/>
        <item x="163"/>
        <item x="103"/>
        <item x="104"/>
        <item x="124"/>
        <item x="139"/>
        <item x="6"/>
        <item x="151"/>
        <item x="142"/>
        <item x="13"/>
        <item x="251"/>
        <item x="231"/>
        <item x="169"/>
        <item x="266"/>
        <item x="286"/>
        <item x="93"/>
        <item x="153"/>
        <item x="16"/>
        <item x="189"/>
        <item x="23"/>
        <item x="117"/>
        <item x="235"/>
        <item x="120"/>
        <item x="75"/>
        <item x="53"/>
        <item x="1"/>
        <item x="76"/>
        <item x="284"/>
        <item x="275"/>
        <item x="131"/>
        <item x="177"/>
        <item x="12"/>
        <item x="63"/>
        <item x="87"/>
        <item x="164"/>
        <item x="94"/>
        <item x="196"/>
        <item x="33"/>
        <item x="128"/>
        <item x="49"/>
        <item x="155"/>
        <item x="2"/>
        <item x="244"/>
        <item x="267"/>
        <item x="273"/>
        <item x="109"/>
        <item x="277"/>
        <item x="132"/>
        <item x="212"/>
        <item x="186"/>
        <item x="105"/>
        <item x="159"/>
        <item x="37"/>
        <item x="226"/>
        <item x="210"/>
        <item x="73"/>
        <item x="100"/>
        <item x="276"/>
        <item x="129"/>
        <item x="10"/>
        <item x="171"/>
        <item x="141"/>
        <item x="147"/>
        <item x="135"/>
        <item x="152"/>
        <item x="192"/>
        <item x="249"/>
        <item x="195"/>
        <item x="227"/>
        <item x="126"/>
        <item x="228"/>
        <item x="70"/>
        <item x="157"/>
        <item x="106"/>
        <item x="29"/>
        <item x="81"/>
        <item x="241"/>
        <item x="30"/>
        <item x="111"/>
        <item x="215"/>
        <item x="44"/>
        <item x="173"/>
        <item x="22"/>
        <item x="239"/>
        <item x="113"/>
        <item x="67"/>
        <item x="48"/>
        <item x="122"/>
        <item x="217"/>
        <item x="238"/>
        <item x="101"/>
        <item x="287"/>
        <item x="80"/>
        <item x="271"/>
        <item x="158"/>
        <item x="140"/>
        <item x="34"/>
        <item x="98"/>
        <item x="194"/>
        <item x="134"/>
        <item x="55"/>
        <item x="116"/>
        <item x="222"/>
        <item x="11"/>
        <item x="66"/>
        <item x="248"/>
        <item x="209"/>
        <item x="185"/>
        <item x="283"/>
        <item x="245"/>
        <item x="107"/>
        <item x="102"/>
        <item x="42"/>
        <item x="179"/>
        <item x="181"/>
        <item x="7"/>
        <item x="261"/>
        <item x="137"/>
        <item x="225"/>
        <item x="62"/>
        <item x="205"/>
        <item x="204"/>
        <item x="160"/>
        <item x="285"/>
        <item x="15"/>
        <item x="5"/>
        <item x="112"/>
        <item x="45"/>
        <item x="214"/>
        <item x="84"/>
        <item x="28"/>
        <item x="254"/>
        <item x="168"/>
        <item x="216"/>
        <item x="35"/>
        <item x="220"/>
        <item x="61"/>
        <item x="268"/>
        <item x="68"/>
        <item x="253"/>
        <item x="161"/>
        <item x="280"/>
        <item x="202"/>
        <item x="24"/>
        <item x="43"/>
        <item x="59"/>
        <item x="119"/>
        <item x="69"/>
        <item x="279"/>
        <item x="262"/>
        <item x="197"/>
        <item x="154"/>
        <item x="89"/>
        <item x="232"/>
        <item x="40"/>
        <item x="281"/>
        <item t="default"/>
      </items>
    </pivotField>
    <pivotField showAll="0"/>
    <pivotField showAll="0"/>
    <pivotField showAll="0">
      <items count="5">
        <item x="2"/>
        <item x="1"/>
        <item x="3"/>
        <item x="0"/>
        <item t="default"/>
      </items>
    </pivotField>
    <pivotField dataField="1" showAll="0">
      <items count="3">
        <item x="0"/>
        <item x="1"/>
        <item t="default"/>
      </items>
    </pivotField>
    <pivotField showAll="0"/>
    <pivotField axis="axisRow" showAll="0">
      <items count="4">
        <item x="0"/>
        <item x="1"/>
        <item x="2"/>
        <item t="default"/>
      </items>
    </pivotField>
    <pivotField showAll="0">
      <items count="11">
        <item m="1" x="9"/>
        <item x="0"/>
        <item x="3"/>
        <item x="7"/>
        <item x="5"/>
        <item x="1"/>
        <item x="2"/>
        <item x="6"/>
        <item x="4"/>
        <item x="8"/>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13"/>
  </rowFields>
  <rowItems count="4">
    <i>
      <x/>
    </i>
    <i>
      <x v="1"/>
    </i>
    <i>
      <x v="2"/>
    </i>
    <i t="grand">
      <x/>
    </i>
  </rowItems>
  <colItems count="1">
    <i/>
  </colItems>
  <dataFields count="1">
    <dataField name="Count of Attrition" fld="11" subtotal="count" baseField="3" baseItem="4" numFmtId="1"/>
  </dataFields>
  <formats count="7">
    <format dxfId="38">
      <pivotArea outline="0" collapsedLevelsAreSubtotals="1" fieldPosition="0"/>
    </format>
    <format dxfId="37">
      <pivotArea type="all" dataOnly="0" outline="0" fieldPosition="0"/>
    </format>
    <format dxfId="36">
      <pivotArea outline="0" collapsedLevelsAreSubtotals="1" fieldPosition="0"/>
    </format>
    <format dxfId="35">
      <pivotArea field="13" type="button" dataOnly="0" labelOnly="1" outline="0" axis="axisRow" fieldPosition="0"/>
    </format>
    <format dxfId="34">
      <pivotArea dataOnly="0" labelOnly="1" fieldPosition="0">
        <references count="1">
          <reference field="13" count="0"/>
        </references>
      </pivotArea>
    </format>
    <format dxfId="33">
      <pivotArea dataOnly="0" labelOnly="1" grandRow="1" outline="0" fieldPosition="0"/>
    </format>
    <format dxfId="32">
      <pivotArea dataOnly="0" labelOnly="1" outline="0" axis="axisValues" fieldPosition="0"/>
    </format>
  </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F5038F-6565-4F7E-B7C0-11DCF6F3E5CD}" name="HiringJOINE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D23:E33" firstHeaderRow="1" firstDataRow="1" firstDataCol="1"/>
  <pivotFields count="18">
    <pivotField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showAll="0"/>
    <pivotField showAll="0">
      <items count="6">
        <item x="4"/>
        <item x="0"/>
        <item x="3"/>
        <item x="1"/>
        <item x="2"/>
        <item t="default"/>
      </items>
    </pivotField>
    <pivotField showAll="0">
      <items count="5">
        <item x="2"/>
        <item x="3"/>
        <item x="0"/>
        <item x="1"/>
        <item t="default"/>
      </items>
    </pivotField>
    <pivotField showAll="0"/>
    <pivotField showAll="0">
      <items count="300">
        <item x="159"/>
        <item x="53"/>
        <item x="256"/>
        <item x="287"/>
        <item x="147"/>
        <item x="126"/>
        <item x="220"/>
        <item x="163"/>
        <item x="193"/>
        <item x="93"/>
        <item x="80"/>
        <item x="158"/>
        <item x="170"/>
        <item x="139"/>
        <item x="127"/>
        <item x="291"/>
        <item x="95"/>
        <item x="169"/>
        <item x="216"/>
        <item x="242"/>
        <item x="153"/>
        <item x="75"/>
        <item x="67"/>
        <item x="107"/>
        <item x="68"/>
        <item x="243"/>
        <item x="186"/>
        <item x="73"/>
        <item x="108"/>
        <item x="39"/>
        <item x="13"/>
        <item x="74"/>
        <item x="16"/>
        <item x="292"/>
        <item x="250"/>
        <item x="149"/>
        <item x="148"/>
        <item x="6"/>
        <item x="179"/>
        <item x="168"/>
        <item x="181"/>
        <item x="105"/>
        <item x="48"/>
        <item x="113"/>
        <item x="19"/>
        <item x="275"/>
        <item x="173"/>
        <item x="24"/>
        <item x="239"/>
        <item x="136"/>
        <item x="37"/>
        <item x="58"/>
        <item x="155"/>
        <item x="46"/>
        <item x="110"/>
        <item x="212"/>
        <item x="137"/>
        <item x="226"/>
        <item x="27"/>
        <item x="224"/>
        <item x="90"/>
        <item x="295"/>
        <item x="172"/>
        <item x="164"/>
        <item x="30"/>
        <item x="77"/>
        <item x="23"/>
        <item x="87"/>
        <item x="254"/>
        <item x="245"/>
        <item x="209"/>
        <item x="71"/>
        <item x="115"/>
        <item x="2"/>
        <item x="5"/>
        <item x="200"/>
        <item x="85"/>
        <item x="274"/>
        <item x="281"/>
        <item x="134"/>
        <item x="202"/>
        <item x="98"/>
        <item x="296"/>
        <item x="228"/>
        <item x="232"/>
        <item x="146"/>
        <item x="128"/>
        <item x="51"/>
        <item x="206"/>
        <item x="270"/>
        <item x="132"/>
        <item x="236"/>
        <item x="145"/>
        <item x="286"/>
        <item x="91"/>
        <item x="92"/>
        <item x="84"/>
        <item x="201"/>
        <item x="252"/>
        <item x="66"/>
        <item x="116"/>
        <item x="251"/>
        <item x="255"/>
        <item x="9"/>
        <item x="41"/>
        <item x="34"/>
        <item x="195"/>
        <item x="29"/>
        <item x="192"/>
        <item x="122"/>
        <item x="191"/>
        <item x="253"/>
        <item x="194"/>
        <item x="133"/>
        <item x="211"/>
        <item x="20"/>
        <item x="22"/>
        <item x="52"/>
        <item x="121"/>
        <item x="235"/>
        <item x="215"/>
        <item x="273"/>
        <item x="298"/>
        <item x="130"/>
        <item x="97"/>
        <item x="54"/>
        <item x="260"/>
        <item x="225"/>
        <item x="142"/>
        <item x="218"/>
        <item x="284"/>
        <item x="28"/>
        <item x="237"/>
        <item x="140"/>
        <item x="21"/>
        <item x="264"/>
        <item x="138"/>
        <item x="184"/>
        <item x="83"/>
        <item x="266"/>
        <item x="117"/>
        <item x="198"/>
        <item x="94"/>
        <item x="31"/>
        <item x="120"/>
        <item x="175"/>
        <item x="234"/>
        <item x="290"/>
        <item x="143"/>
        <item x="240"/>
        <item x="222"/>
        <item x="167"/>
        <item x="162"/>
        <item x="277"/>
        <item x="227"/>
        <item x="229"/>
        <item x="276"/>
        <item x="208"/>
        <item x="197"/>
        <item x="4"/>
        <item x="283"/>
        <item x="26"/>
        <item x="141"/>
        <item x="297"/>
        <item x="61"/>
        <item x="269"/>
        <item x="10"/>
        <item x="189"/>
        <item x="82"/>
        <item x="103"/>
        <item x="99"/>
        <item x="271"/>
        <item x="180"/>
        <item x="214"/>
        <item x="118"/>
        <item x="182"/>
        <item x="86"/>
        <item x="45"/>
        <item x="62"/>
        <item x="129"/>
        <item x="42"/>
        <item x="18"/>
        <item x="59"/>
        <item x="204"/>
        <item x="272"/>
        <item x="231"/>
        <item x="0"/>
        <item x="267"/>
        <item x="43"/>
        <item x="151"/>
        <item x="38"/>
        <item x="249"/>
        <item x="78"/>
        <item x="166"/>
        <item x="213"/>
        <item x="81"/>
        <item x="17"/>
        <item x="72"/>
        <item x="88"/>
        <item x="261"/>
        <item x="1"/>
        <item x="47"/>
        <item x="70"/>
        <item x="196"/>
        <item x="293"/>
        <item x="289"/>
        <item x="69"/>
        <item x="65"/>
        <item x="294"/>
        <item x="247"/>
        <item x="185"/>
        <item x="57"/>
        <item x="187"/>
        <item x="190"/>
        <item x="11"/>
        <item x="32"/>
        <item x="280"/>
        <item x="44"/>
        <item x="36"/>
        <item x="161"/>
        <item x="104"/>
        <item x="144"/>
        <item x="262"/>
        <item x="210"/>
        <item x="285"/>
        <item x="268"/>
        <item x="165"/>
        <item x="176"/>
        <item x="183"/>
        <item x="241"/>
        <item x="3"/>
        <item x="174"/>
        <item x="123"/>
        <item x="257"/>
        <item x="219"/>
        <item x="259"/>
        <item x="7"/>
        <item x="177"/>
        <item x="223"/>
        <item x="64"/>
        <item x="203"/>
        <item x="265"/>
        <item x="111"/>
        <item x="157"/>
        <item x="238"/>
        <item x="50"/>
        <item x="135"/>
        <item x="101"/>
        <item x="244"/>
        <item x="125"/>
        <item x="25"/>
        <item x="217"/>
        <item x="112"/>
        <item x="279"/>
        <item x="35"/>
        <item x="56"/>
        <item x="282"/>
        <item x="124"/>
        <item x="221"/>
        <item x="12"/>
        <item x="152"/>
        <item x="288"/>
        <item x="178"/>
        <item x="8"/>
        <item x="100"/>
        <item x="119"/>
        <item x="40"/>
        <item x="76"/>
        <item x="109"/>
        <item x="233"/>
        <item x="156"/>
        <item x="230"/>
        <item x="79"/>
        <item x="15"/>
        <item x="154"/>
        <item x="207"/>
        <item x="33"/>
        <item x="188"/>
        <item x="89"/>
        <item x="171"/>
        <item x="49"/>
        <item x="160"/>
        <item x="96"/>
        <item x="199"/>
        <item x="63"/>
        <item x="246"/>
        <item x="205"/>
        <item x="258"/>
        <item x="60"/>
        <item x="263"/>
        <item x="106"/>
        <item x="248"/>
        <item x="150"/>
        <item x="102"/>
        <item x="14"/>
        <item x="55"/>
        <item x="131"/>
        <item x="114"/>
        <item x="278"/>
        <item t="default"/>
      </items>
    </pivotField>
    <pivotField showAll="0">
      <items count="290">
        <item x="274"/>
        <item x="221"/>
        <item x="188"/>
        <item x="256"/>
        <item x="88"/>
        <item x="233"/>
        <item x="237"/>
        <item x="257"/>
        <item x="36"/>
        <item x="0"/>
        <item x="60"/>
        <item x="65"/>
        <item x="18"/>
        <item x="78"/>
        <item x="110"/>
        <item x="95"/>
        <item x="180"/>
        <item x="167"/>
        <item x="41"/>
        <item x="72"/>
        <item x="46"/>
        <item x="203"/>
        <item x="86"/>
        <item x="25"/>
        <item x="14"/>
        <item x="236"/>
        <item x="52"/>
        <item x="26"/>
        <item x="282"/>
        <item x="182"/>
        <item x="218"/>
        <item x="74"/>
        <item x="170"/>
        <item x="242"/>
        <item x="166"/>
        <item x="27"/>
        <item x="175"/>
        <item x="247"/>
        <item x="85"/>
        <item x="121"/>
        <item x="32"/>
        <item x="143"/>
        <item x="240"/>
        <item x="3"/>
        <item x="269"/>
        <item x="79"/>
        <item x="39"/>
        <item x="230"/>
        <item x="200"/>
        <item x="4"/>
        <item x="145"/>
        <item x="19"/>
        <item x="219"/>
        <item x="174"/>
        <item x="9"/>
        <item x="108"/>
        <item x="223"/>
        <item x="183"/>
        <item x="97"/>
        <item x="272"/>
        <item x="118"/>
        <item x="51"/>
        <item x="31"/>
        <item x="127"/>
        <item x="99"/>
        <item x="208"/>
        <item x="148"/>
        <item x="96"/>
        <item x="250"/>
        <item x="77"/>
        <item x="115"/>
        <item x="260"/>
        <item x="83"/>
        <item x="206"/>
        <item x="229"/>
        <item x="90"/>
        <item x="21"/>
        <item x="71"/>
        <item x="136"/>
        <item x="191"/>
        <item x="162"/>
        <item x="172"/>
        <item x="130"/>
        <item x="146"/>
        <item x="187"/>
        <item x="288"/>
        <item x="213"/>
        <item x="224"/>
        <item x="82"/>
        <item x="149"/>
        <item x="270"/>
        <item x="265"/>
        <item x="184"/>
        <item x="47"/>
        <item x="64"/>
        <item x="234"/>
        <item x="58"/>
        <item x="255"/>
        <item x="278"/>
        <item x="114"/>
        <item x="57"/>
        <item x="56"/>
        <item x="263"/>
        <item x="165"/>
        <item x="8"/>
        <item x="50"/>
        <item x="138"/>
        <item x="190"/>
        <item x="150"/>
        <item x="91"/>
        <item x="207"/>
        <item x="156"/>
        <item x="199"/>
        <item x="211"/>
        <item x="144"/>
        <item x="123"/>
        <item x="246"/>
        <item x="176"/>
        <item x="259"/>
        <item x="252"/>
        <item x="92"/>
        <item x="133"/>
        <item x="38"/>
        <item x="54"/>
        <item x="193"/>
        <item x="17"/>
        <item x="125"/>
        <item x="198"/>
        <item x="258"/>
        <item x="243"/>
        <item x="178"/>
        <item x="201"/>
        <item x="264"/>
        <item x="20"/>
        <item x="163"/>
        <item x="103"/>
        <item x="104"/>
        <item x="124"/>
        <item x="139"/>
        <item x="6"/>
        <item x="151"/>
        <item x="142"/>
        <item x="13"/>
        <item x="251"/>
        <item x="231"/>
        <item x="169"/>
        <item x="266"/>
        <item x="286"/>
        <item x="93"/>
        <item x="153"/>
        <item x="16"/>
        <item x="189"/>
        <item x="23"/>
        <item x="117"/>
        <item x="235"/>
        <item x="120"/>
        <item x="75"/>
        <item x="53"/>
        <item x="1"/>
        <item x="76"/>
        <item x="284"/>
        <item x="275"/>
        <item x="131"/>
        <item x="177"/>
        <item x="12"/>
        <item x="63"/>
        <item x="87"/>
        <item x="164"/>
        <item x="94"/>
        <item x="196"/>
        <item x="33"/>
        <item x="128"/>
        <item x="49"/>
        <item x="155"/>
        <item x="2"/>
        <item x="244"/>
        <item x="267"/>
        <item x="273"/>
        <item x="109"/>
        <item x="277"/>
        <item x="132"/>
        <item x="212"/>
        <item x="186"/>
        <item x="105"/>
        <item x="159"/>
        <item x="37"/>
        <item x="226"/>
        <item x="210"/>
        <item x="73"/>
        <item x="100"/>
        <item x="276"/>
        <item x="129"/>
        <item x="10"/>
        <item x="171"/>
        <item x="141"/>
        <item x="147"/>
        <item x="135"/>
        <item x="152"/>
        <item x="192"/>
        <item x="249"/>
        <item x="195"/>
        <item x="227"/>
        <item x="126"/>
        <item x="228"/>
        <item x="70"/>
        <item x="157"/>
        <item x="106"/>
        <item x="29"/>
        <item x="81"/>
        <item x="241"/>
        <item x="30"/>
        <item x="111"/>
        <item x="215"/>
        <item x="44"/>
        <item x="173"/>
        <item x="22"/>
        <item x="239"/>
        <item x="113"/>
        <item x="67"/>
        <item x="48"/>
        <item x="122"/>
        <item x="217"/>
        <item x="238"/>
        <item x="101"/>
        <item x="287"/>
        <item x="80"/>
        <item x="271"/>
        <item x="158"/>
        <item x="140"/>
        <item x="34"/>
        <item x="98"/>
        <item x="194"/>
        <item x="134"/>
        <item x="55"/>
        <item x="116"/>
        <item x="222"/>
        <item x="11"/>
        <item x="66"/>
        <item x="248"/>
        <item x="209"/>
        <item x="185"/>
        <item x="283"/>
        <item x="245"/>
        <item x="107"/>
        <item x="102"/>
        <item x="42"/>
        <item x="179"/>
        <item x="181"/>
        <item x="7"/>
        <item x="261"/>
        <item x="137"/>
        <item x="225"/>
        <item x="62"/>
        <item x="205"/>
        <item x="204"/>
        <item x="160"/>
        <item x="285"/>
        <item x="15"/>
        <item x="5"/>
        <item x="112"/>
        <item x="45"/>
        <item x="214"/>
        <item x="84"/>
        <item x="28"/>
        <item x="254"/>
        <item x="168"/>
        <item x="216"/>
        <item x="35"/>
        <item x="220"/>
        <item x="61"/>
        <item x="268"/>
        <item x="68"/>
        <item x="253"/>
        <item x="161"/>
        <item x="280"/>
        <item x="202"/>
        <item x="24"/>
        <item x="43"/>
        <item x="59"/>
        <item x="119"/>
        <item x="69"/>
        <item x="279"/>
        <item x="262"/>
        <item x="197"/>
        <item x="154"/>
        <item x="89"/>
        <item x="232"/>
        <item x="40"/>
        <item x="281"/>
        <item t="default"/>
      </items>
    </pivotField>
    <pivotField showAll="0"/>
    <pivotField showAll="0">
      <items count="6">
        <item x="2"/>
        <item x="1"/>
        <item x="4"/>
        <item x="3"/>
        <item x="0"/>
        <item t="default"/>
      </items>
    </pivotField>
    <pivotField showAll="0">
      <items count="5">
        <item x="2"/>
        <item x="1"/>
        <item x="3"/>
        <item x="0"/>
        <item t="default"/>
      </items>
    </pivotField>
    <pivotField showAll="0">
      <items count="3">
        <item x="0"/>
        <item x="1"/>
        <item t="default"/>
      </items>
    </pivotField>
    <pivotField showAll="0"/>
    <pivotField showAll="0"/>
    <pivotField dataField="1" showAll="0">
      <items count="11">
        <item m="1" x="9"/>
        <item x="0"/>
        <item x="3"/>
        <item x="7"/>
        <item x="5"/>
        <item x="1"/>
        <item x="2"/>
        <item x="6"/>
        <item x="4"/>
        <item x="8"/>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2">
        <item sd="0" x="0"/>
        <item sd="0" x="1"/>
        <item sd="0" x="2"/>
        <item sd="0" x="3"/>
        <item sd="0" x="4"/>
        <item sd="0" x="5"/>
        <item sd="0" x="6"/>
        <item sd="0" x="7"/>
        <item sd="0" x="8"/>
        <item sd="0" x="9"/>
        <item sd="0" x="10"/>
        <item t="default"/>
      </items>
    </pivotField>
  </pivotFields>
  <rowFields count="1">
    <field x="17"/>
  </rowFields>
  <rowItems count="10">
    <i>
      <x v="1"/>
    </i>
    <i>
      <x v="2"/>
    </i>
    <i>
      <x v="3"/>
    </i>
    <i>
      <x v="4"/>
    </i>
    <i>
      <x v="5"/>
    </i>
    <i>
      <x v="6"/>
    </i>
    <i>
      <x v="7"/>
    </i>
    <i>
      <x v="8"/>
    </i>
    <i>
      <x v="9"/>
    </i>
    <i t="grand">
      <x/>
    </i>
  </rowItems>
  <colItems count="1">
    <i/>
  </colItems>
  <dataFields count="1">
    <dataField name="Count of Join_Year" fld="14" subtotal="count" baseField="17" baseItem="1"/>
  </dataFields>
  <formats count="9">
    <format dxfId="47">
      <pivotArea outline="0" collapsedLevelsAreSubtotals="1" fieldPosition="0"/>
    </format>
    <format dxfId="46">
      <pivotArea grandRow="1" outline="0" collapsedLevelsAreSubtotals="1" fieldPosition="0"/>
    </format>
    <format dxfId="45">
      <pivotArea collapsedLevelsAreSubtotals="1" fieldPosition="0">
        <references count="1">
          <reference field="17" count="9">
            <x v="1"/>
            <x v="2"/>
            <x v="3"/>
            <x v="4"/>
            <x v="5"/>
            <x v="6"/>
            <x v="7"/>
            <x v="8"/>
            <x v="9"/>
          </reference>
        </references>
      </pivotArea>
    </format>
    <format dxfId="44">
      <pivotArea type="all" dataOnly="0" outline="0" fieldPosition="0"/>
    </format>
    <format dxfId="43">
      <pivotArea outline="0" collapsedLevelsAreSubtotals="1" fieldPosition="0"/>
    </format>
    <format dxfId="42">
      <pivotArea field="17" type="button" dataOnly="0" labelOnly="1" outline="0" axis="axisRow" fieldPosition="0"/>
    </format>
    <format dxfId="41">
      <pivotArea dataOnly="0" labelOnly="1" fieldPosition="0">
        <references count="1">
          <reference field="17" count="9">
            <x v="1"/>
            <x v="2"/>
            <x v="3"/>
            <x v="4"/>
            <x v="5"/>
            <x v="6"/>
            <x v="7"/>
            <x v="8"/>
            <x v="9"/>
          </reference>
        </references>
      </pivotArea>
    </format>
    <format dxfId="40">
      <pivotArea dataOnly="0" labelOnly="1" grandRow="1" outline="0" fieldPosition="0"/>
    </format>
    <format dxfId="39">
      <pivotArea dataOnly="0" labelOnly="1" outline="0" axis="axisValues" fieldPosition="0"/>
    </format>
  </formats>
  <chartFormats count="1">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9FE84DC-B418-4A4F-8946-F9ED80770472}" name="AbyDep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5:B11" firstHeaderRow="1" firstDataRow="1" firstDataCol="1"/>
  <pivotFields count="18">
    <pivotField showAll="0"/>
    <pivotField showAll="0"/>
    <pivotField showAll="0"/>
    <pivotField axis="axisRow" showAll="0">
      <items count="6">
        <item x="4"/>
        <item x="0"/>
        <item x="3"/>
        <item x="1"/>
        <item x="2"/>
        <item t="default"/>
      </items>
    </pivotField>
    <pivotField showAll="0">
      <items count="5">
        <item x="2"/>
        <item x="3"/>
        <item x="0"/>
        <item x="1"/>
        <item t="default"/>
      </items>
    </pivotField>
    <pivotField showAll="0"/>
    <pivotField showAll="0">
      <items count="300">
        <item x="159"/>
        <item x="53"/>
        <item x="256"/>
        <item x="287"/>
        <item x="147"/>
        <item x="126"/>
        <item x="220"/>
        <item x="163"/>
        <item x="193"/>
        <item x="93"/>
        <item x="80"/>
        <item x="158"/>
        <item x="170"/>
        <item x="139"/>
        <item x="127"/>
        <item x="291"/>
        <item x="95"/>
        <item x="169"/>
        <item x="216"/>
        <item x="242"/>
        <item x="153"/>
        <item x="75"/>
        <item x="67"/>
        <item x="107"/>
        <item x="68"/>
        <item x="243"/>
        <item x="186"/>
        <item x="73"/>
        <item x="108"/>
        <item x="39"/>
        <item x="13"/>
        <item x="74"/>
        <item x="16"/>
        <item x="292"/>
        <item x="250"/>
        <item x="149"/>
        <item x="148"/>
        <item x="6"/>
        <item x="179"/>
        <item x="168"/>
        <item x="181"/>
        <item x="105"/>
        <item x="48"/>
        <item x="113"/>
        <item x="19"/>
        <item x="275"/>
        <item x="173"/>
        <item x="24"/>
        <item x="239"/>
        <item x="136"/>
        <item x="37"/>
        <item x="58"/>
        <item x="155"/>
        <item x="46"/>
        <item x="110"/>
        <item x="212"/>
        <item x="137"/>
        <item x="226"/>
        <item x="27"/>
        <item x="224"/>
        <item x="90"/>
        <item x="295"/>
        <item x="172"/>
        <item x="164"/>
        <item x="30"/>
        <item x="77"/>
        <item x="23"/>
        <item x="87"/>
        <item x="254"/>
        <item x="245"/>
        <item x="209"/>
        <item x="71"/>
        <item x="115"/>
        <item x="2"/>
        <item x="5"/>
        <item x="200"/>
        <item x="85"/>
        <item x="274"/>
        <item x="281"/>
        <item x="134"/>
        <item x="202"/>
        <item x="98"/>
        <item x="296"/>
        <item x="228"/>
        <item x="232"/>
        <item x="146"/>
        <item x="128"/>
        <item x="51"/>
        <item x="206"/>
        <item x="270"/>
        <item x="132"/>
        <item x="236"/>
        <item x="145"/>
        <item x="286"/>
        <item x="91"/>
        <item x="92"/>
        <item x="84"/>
        <item x="201"/>
        <item x="252"/>
        <item x="66"/>
        <item x="116"/>
        <item x="251"/>
        <item x="255"/>
        <item x="9"/>
        <item x="41"/>
        <item x="34"/>
        <item x="195"/>
        <item x="29"/>
        <item x="192"/>
        <item x="122"/>
        <item x="191"/>
        <item x="253"/>
        <item x="194"/>
        <item x="133"/>
        <item x="211"/>
        <item x="20"/>
        <item x="22"/>
        <item x="52"/>
        <item x="121"/>
        <item x="235"/>
        <item x="215"/>
        <item x="273"/>
        <item x="298"/>
        <item x="130"/>
        <item x="97"/>
        <item x="54"/>
        <item x="260"/>
        <item x="225"/>
        <item x="142"/>
        <item x="218"/>
        <item x="284"/>
        <item x="28"/>
        <item x="237"/>
        <item x="140"/>
        <item x="21"/>
        <item x="264"/>
        <item x="138"/>
        <item x="184"/>
        <item x="83"/>
        <item x="266"/>
        <item x="117"/>
        <item x="198"/>
        <item x="94"/>
        <item x="31"/>
        <item x="120"/>
        <item x="175"/>
        <item x="234"/>
        <item x="290"/>
        <item x="143"/>
        <item x="240"/>
        <item x="222"/>
        <item x="167"/>
        <item x="162"/>
        <item x="277"/>
        <item x="227"/>
        <item x="229"/>
        <item x="276"/>
        <item x="208"/>
        <item x="197"/>
        <item x="4"/>
        <item x="283"/>
        <item x="26"/>
        <item x="141"/>
        <item x="297"/>
        <item x="61"/>
        <item x="269"/>
        <item x="10"/>
        <item x="189"/>
        <item x="82"/>
        <item x="103"/>
        <item x="99"/>
        <item x="271"/>
        <item x="180"/>
        <item x="214"/>
        <item x="118"/>
        <item x="182"/>
        <item x="86"/>
        <item x="45"/>
        <item x="62"/>
        <item x="129"/>
        <item x="42"/>
        <item x="18"/>
        <item x="59"/>
        <item x="204"/>
        <item x="272"/>
        <item x="231"/>
        <item x="0"/>
        <item x="267"/>
        <item x="43"/>
        <item x="151"/>
        <item x="38"/>
        <item x="249"/>
        <item x="78"/>
        <item x="166"/>
        <item x="213"/>
        <item x="81"/>
        <item x="17"/>
        <item x="72"/>
        <item x="88"/>
        <item x="261"/>
        <item x="1"/>
        <item x="47"/>
        <item x="70"/>
        <item x="196"/>
        <item x="293"/>
        <item x="289"/>
        <item x="69"/>
        <item x="65"/>
        <item x="294"/>
        <item x="247"/>
        <item x="185"/>
        <item x="57"/>
        <item x="187"/>
        <item x="190"/>
        <item x="11"/>
        <item x="32"/>
        <item x="280"/>
        <item x="44"/>
        <item x="36"/>
        <item x="161"/>
        <item x="104"/>
        <item x="144"/>
        <item x="262"/>
        <item x="210"/>
        <item x="285"/>
        <item x="268"/>
        <item x="165"/>
        <item x="176"/>
        <item x="183"/>
        <item x="241"/>
        <item x="3"/>
        <item x="174"/>
        <item x="123"/>
        <item x="257"/>
        <item x="219"/>
        <item x="259"/>
        <item x="7"/>
        <item x="177"/>
        <item x="223"/>
        <item x="64"/>
        <item x="203"/>
        <item x="265"/>
        <item x="111"/>
        <item x="157"/>
        <item x="238"/>
        <item x="50"/>
        <item x="135"/>
        <item x="101"/>
        <item x="244"/>
        <item x="125"/>
        <item x="25"/>
        <item x="217"/>
        <item x="112"/>
        <item x="279"/>
        <item x="35"/>
        <item x="56"/>
        <item x="282"/>
        <item x="124"/>
        <item x="221"/>
        <item x="12"/>
        <item x="152"/>
        <item x="288"/>
        <item x="178"/>
        <item x="8"/>
        <item x="100"/>
        <item x="119"/>
        <item x="40"/>
        <item x="76"/>
        <item x="109"/>
        <item x="233"/>
        <item x="156"/>
        <item x="230"/>
        <item x="79"/>
        <item x="15"/>
        <item x="154"/>
        <item x="207"/>
        <item x="33"/>
        <item x="188"/>
        <item x="89"/>
        <item x="171"/>
        <item x="49"/>
        <item x="160"/>
        <item x="96"/>
        <item x="199"/>
        <item x="63"/>
        <item x="246"/>
        <item x="205"/>
        <item x="258"/>
        <item x="60"/>
        <item x="263"/>
        <item x="106"/>
        <item x="248"/>
        <item x="150"/>
        <item x="102"/>
        <item x="14"/>
        <item x="55"/>
        <item x="131"/>
        <item x="114"/>
        <item x="278"/>
        <item t="default"/>
      </items>
    </pivotField>
    <pivotField showAll="0">
      <items count="290">
        <item x="274"/>
        <item x="221"/>
        <item x="188"/>
        <item x="256"/>
        <item x="88"/>
        <item x="233"/>
        <item x="237"/>
        <item x="257"/>
        <item x="36"/>
        <item x="0"/>
        <item x="60"/>
        <item x="65"/>
        <item x="18"/>
        <item x="78"/>
        <item x="110"/>
        <item x="95"/>
        <item x="180"/>
        <item x="167"/>
        <item x="41"/>
        <item x="72"/>
        <item x="46"/>
        <item x="203"/>
        <item x="86"/>
        <item x="25"/>
        <item x="14"/>
        <item x="236"/>
        <item x="52"/>
        <item x="26"/>
        <item x="282"/>
        <item x="182"/>
        <item x="218"/>
        <item x="74"/>
        <item x="170"/>
        <item x="242"/>
        <item x="166"/>
        <item x="27"/>
        <item x="175"/>
        <item x="247"/>
        <item x="85"/>
        <item x="121"/>
        <item x="32"/>
        <item x="143"/>
        <item x="240"/>
        <item x="3"/>
        <item x="269"/>
        <item x="79"/>
        <item x="39"/>
        <item x="230"/>
        <item x="200"/>
        <item x="4"/>
        <item x="145"/>
        <item x="19"/>
        <item x="219"/>
        <item x="174"/>
        <item x="9"/>
        <item x="108"/>
        <item x="223"/>
        <item x="183"/>
        <item x="97"/>
        <item x="272"/>
        <item x="118"/>
        <item x="51"/>
        <item x="31"/>
        <item x="127"/>
        <item x="99"/>
        <item x="208"/>
        <item x="148"/>
        <item x="96"/>
        <item x="250"/>
        <item x="77"/>
        <item x="115"/>
        <item x="260"/>
        <item x="83"/>
        <item x="206"/>
        <item x="229"/>
        <item x="90"/>
        <item x="21"/>
        <item x="71"/>
        <item x="136"/>
        <item x="191"/>
        <item x="162"/>
        <item x="172"/>
        <item x="130"/>
        <item x="146"/>
        <item x="187"/>
        <item x="288"/>
        <item x="213"/>
        <item x="224"/>
        <item x="82"/>
        <item x="149"/>
        <item x="270"/>
        <item x="265"/>
        <item x="184"/>
        <item x="47"/>
        <item x="64"/>
        <item x="234"/>
        <item x="58"/>
        <item x="255"/>
        <item x="278"/>
        <item x="114"/>
        <item x="57"/>
        <item x="56"/>
        <item x="263"/>
        <item x="165"/>
        <item x="8"/>
        <item x="50"/>
        <item x="138"/>
        <item x="190"/>
        <item x="150"/>
        <item x="91"/>
        <item x="207"/>
        <item x="156"/>
        <item x="199"/>
        <item x="211"/>
        <item x="144"/>
        <item x="123"/>
        <item x="246"/>
        <item x="176"/>
        <item x="259"/>
        <item x="252"/>
        <item x="92"/>
        <item x="133"/>
        <item x="38"/>
        <item x="54"/>
        <item x="193"/>
        <item x="17"/>
        <item x="125"/>
        <item x="198"/>
        <item x="258"/>
        <item x="243"/>
        <item x="178"/>
        <item x="201"/>
        <item x="264"/>
        <item x="20"/>
        <item x="163"/>
        <item x="103"/>
        <item x="104"/>
        <item x="124"/>
        <item x="139"/>
        <item x="6"/>
        <item x="151"/>
        <item x="142"/>
        <item x="13"/>
        <item x="251"/>
        <item x="231"/>
        <item x="169"/>
        <item x="266"/>
        <item x="286"/>
        <item x="93"/>
        <item x="153"/>
        <item x="16"/>
        <item x="189"/>
        <item x="23"/>
        <item x="117"/>
        <item x="235"/>
        <item x="120"/>
        <item x="75"/>
        <item x="53"/>
        <item x="1"/>
        <item x="76"/>
        <item x="284"/>
        <item x="275"/>
        <item x="131"/>
        <item x="177"/>
        <item x="12"/>
        <item x="63"/>
        <item x="87"/>
        <item x="164"/>
        <item x="94"/>
        <item x="196"/>
        <item x="33"/>
        <item x="128"/>
        <item x="49"/>
        <item x="155"/>
        <item x="2"/>
        <item x="244"/>
        <item x="267"/>
        <item x="273"/>
        <item x="109"/>
        <item x="277"/>
        <item x="132"/>
        <item x="212"/>
        <item x="186"/>
        <item x="105"/>
        <item x="159"/>
        <item x="37"/>
        <item x="226"/>
        <item x="210"/>
        <item x="73"/>
        <item x="100"/>
        <item x="276"/>
        <item x="129"/>
        <item x="10"/>
        <item x="171"/>
        <item x="141"/>
        <item x="147"/>
        <item x="135"/>
        <item x="152"/>
        <item x="192"/>
        <item x="249"/>
        <item x="195"/>
        <item x="227"/>
        <item x="126"/>
        <item x="228"/>
        <item x="70"/>
        <item x="157"/>
        <item x="106"/>
        <item x="29"/>
        <item x="81"/>
        <item x="241"/>
        <item x="30"/>
        <item x="111"/>
        <item x="215"/>
        <item x="44"/>
        <item x="173"/>
        <item x="22"/>
        <item x="239"/>
        <item x="113"/>
        <item x="67"/>
        <item x="48"/>
        <item x="122"/>
        <item x="217"/>
        <item x="238"/>
        <item x="101"/>
        <item x="287"/>
        <item x="80"/>
        <item x="271"/>
        <item x="158"/>
        <item x="140"/>
        <item x="34"/>
        <item x="98"/>
        <item x="194"/>
        <item x="134"/>
        <item x="55"/>
        <item x="116"/>
        <item x="222"/>
        <item x="11"/>
        <item x="66"/>
        <item x="248"/>
        <item x="209"/>
        <item x="185"/>
        <item x="283"/>
        <item x="245"/>
        <item x="107"/>
        <item x="102"/>
        <item x="42"/>
        <item x="179"/>
        <item x="181"/>
        <item x="7"/>
        <item x="261"/>
        <item x="137"/>
        <item x="225"/>
        <item x="62"/>
        <item x="205"/>
        <item x="204"/>
        <item x="160"/>
        <item x="285"/>
        <item x="15"/>
        <item x="5"/>
        <item x="112"/>
        <item x="45"/>
        <item x="214"/>
        <item x="84"/>
        <item x="28"/>
        <item x="254"/>
        <item x="168"/>
        <item x="216"/>
        <item x="35"/>
        <item x="220"/>
        <item x="61"/>
        <item x="268"/>
        <item x="68"/>
        <item x="253"/>
        <item x="161"/>
        <item x="280"/>
        <item x="202"/>
        <item x="24"/>
        <item x="43"/>
        <item x="59"/>
        <item x="119"/>
        <item x="69"/>
        <item x="279"/>
        <item x="262"/>
        <item x="197"/>
        <item x="154"/>
        <item x="89"/>
        <item x="232"/>
        <item x="40"/>
        <item x="281"/>
        <item t="default"/>
      </items>
    </pivotField>
    <pivotField showAll="0"/>
    <pivotField showAll="0"/>
    <pivotField showAll="0"/>
    <pivotField dataField="1" showAll="0">
      <items count="3">
        <item x="0"/>
        <item x="1"/>
        <item t="default"/>
      </items>
    </pivotField>
    <pivotField showAll="0"/>
    <pivotField showAll="0"/>
    <pivotField showAll="0">
      <items count="11">
        <item m="1" x="9"/>
        <item x="0"/>
        <item x="3"/>
        <item x="7"/>
        <item x="5"/>
        <item x="1"/>
        <item x="2"/>
        <item x="6"/>
        <item x="4"/>
        <item x="8"/>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3"/>
  </rowFields>
  <rowItems count="6">
    <i>
      <x/>
    </i>
    <i>
      <x v="1"/>
    </i>
    <i>
      <x v="2"/>
    </i>
    <i>
      <x v="3"/>
    </i>
    <i>
      <x v="4"/>
    </i>
    <i t="grand">
      <x/>
    </i>
  </rowItems>
  <colItems count="1">
    <i/>
  </colItems>
  <dataFields count="1">
    <dataField name="Count of Attrition" fld="11" subtotal="count" baseField="0" baseItem="0" numFmtId="1"/>
  </dataFields>
  <formats count="7">
    <format dxfId="54">
      <pivotArea outline="0" collapsedLevelsAreSubtotals="1" fieldPosition="0"/>
    </format>
    <format dxfId="53">
      <pivotArea type="all" dataOnly="0" outline="0" fieldPosition="0"/>
    </format>
    <format dxfId="52">
      <pivotArea outline="0" collapsedLevelsAreSubtotals="1" fieldPosition="0"/>
    </format>
    <format dxfId="51">
      <pivotArea field="3" type="button" dataOnly="0" labelOnly="1" outline="0" axis="axisRow" fieldPosition="0"/>
    </format>
    <format dxfId="50">
      <pivotArea dataOnly="0" labelOnly="1" fieldPosition="0">
        <references count="1">
          <reference field="3" count="0"/>
        </references>
      </pivotArea>
    </format>
    <format dxfId="49">
      <pivotArea dataOnly="0" labelOnly="1" grandRow="1" outline="0" fieldPosition="0"/>
    </format>
    <format dxfId="48">
      <pivotArea dataOnly="0" labelOnly="1" outline="0" axis="axisValues" fieldPosition="0"/>
    </format>
  </format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AB897BA-617A-4F6F-9743-D6605A5C5F9F}" name="HCbyDep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4:B20" firstHeaderRow="1" firstDataRow="1" firstDataCol="1"/>
  <pivotFields count="18">
    <pivotField dataField="1" showAll="0"/>
    <pivotField showAll="0"/>
    <pivotField showAll="0"/>
    <pivotField axis="axisRow" showAll="0">
      <items count="6">
        <item x="4"/>
        <item x="0"/>
        <item x="3"/>
        <item x="1"/>
        <item x="2"/>
        <item t="default"/>
      </items>
    </pivotField>
    <pivotField showAll="0"/>
    <pivotField showAll="0"/>
    <pivotField showAll="0">
      <items count="300">
        <item x="159"/>
        <item x="53"/>
        <item x="256"/>
        <item x="287"/>
        <item x="147"/>
        <item x="126"/>
        <item x="220"/>
        <item x="163"/>
        <item x="193"/>
        <item x="93"/>
        <item x="80"/>
        <item x="158"/>
        <item x="170"/>
        <item x="139"/>
        <item x="127"/>
        <item x="291"/>
        <item x="95"/>
        <item x="169"/>
        <item x="216"/>
        <item x="242"/>
        <item x="153"/>
        <item x="75"/>
        <item x="67"/>
        <item x="107"/>
        <item x="68"/>
        <item x="243"/>
        <item x="186"/>
        <item x="73"/>
        <item x="108"/>
        <item x="39"/>
        <item x="13"/>
        <item x="74"/>
        <item x="16"/>
        <item x="292"/>
        <item x="250"/>
        <item x="149"/>
        <item x="148"/>
        <item x="6"/>
        <item x="179"/>
        <item x="168"/>
        <item x="181"/>
        <item x="105"/>
        <item x="48"/>
        <item x="113"/>
        <item x="19"/>
        <item x="275"/>
        <item x="173"/>
        <item x="24"/>
        <item x="239"/>
        <item x="136"/>
        <item x="37"/>
        <item x="58"/>
        <item x="155"/>
        <item x="46"/>
        <item x="110"/>
        <item x="212"/>
        <item x="137"/>
        <item x="226"/>
        <item x="27"/>
        <item x="224"/>
        <item x="90"/>
        <item x="295"/>
        <item x="172"/>
        <item x="164"/>
        <item x="30"/>
        <item x="77"/>
        <item x="23"/>
        <item x="87"/>
        <item x="254"/>
        <item x="245"/>
        <item x="209"/>
        <item x="71"/>
        <item x="115"/>
        <item x="2"/>
        <item x="5"/>
        <item x="200"/>
        <item x="85"/>
        <item x="274"/>
        <item x="281"/>
        <item x="134"/>
        <item x="202"/>
        <item x="98"/>
        <item x="296"/>
        <item x="228"/>
        <item x="232"/>
        <item x="146"/>
        <item x="128"/>
        <item x="51"/>
        <item x="206"/>
        <item x="270"/>
        <item x="132"/>
        <item x="236"/>
        <item x="145"/>
        <item x="286"/>
        <item x="91"/>
        <item x="92"/>
        <item x="84"/>
        <item x="201"/>
        <item x="252"/>
        <item x="66"/>
        <item x="116"/>
        <item x="251"/>
        <item x="255"/>
        <item x="9"/>
        <item x="41"/>
        <item x="34"/>
        <item x="195"/>
        <item x="29"/>
        <item x="192"/>
        <item x="122"/>
        <item x="191"/>
        <item x="253"/>
        <item x="194"/>
        <item x="133"/>
        <item x="211"/>
        <item x="20"/>
        <item x="22"/>
        <item x="52"/>
        <item x="121"/>
        <item x="235"/>
        <item x="215"/>
        <item x="273"/>
        <item x="298"/>
        <item x="130"/>
        <item x="97"/>
        <item x="54"/>
        <item x="260"/>
        <item x="225"/>
        <item x="142"/>
        <item x="218"/>
        <item x="284"/>
        <item x="28"/>
        <item x="237"/>
        <item x="140"/>
        <item x="21"/>
        <item x="264"/>
        <item x="138"/>
        <item x="184"/>
        <item x="83"/>
        <item x="266"/>
        <item x="117"/>
        <item x="198"/>
        <item x="94"/>
        <item x="31"/>
        <item x="120"/>
        <item x="175"/>
        <item x="234"/>
        <item x="290"/>
        <item x="143"/>
        <item x="240"/>
        <item x="222"/>
        <item x="167"/>
        <item x="162"/>
        <item x="277"/>
        <item x="227"/>
        <item x="229"/>
        <item x="276"/>
        <item x="208"/>
        <item x="197"/>
        <item x="4"/>
        <item x="283"/>
        <item x="26"/>
        <item x="141"/>
        <item x="297"/>
        <item x="61"/>
        <item x="269"/>
        <item x="10"/>
        <item x="189"/>
        <item x="82"/>
        <item x="103"/>
        <item x="99"/>
        <item x="271"/>
        <item x="180"/>
        <item x="214"/>
        <item x="118"/>
        <item x="182"/>
        <item x="86"/>
        <item x="45"/>
        <item x="62"/>
        <item x="129"/>
        <item x="42"/>
        <item x="18"/>
        <item x="59"/>
        <item x="204"/>
        <item x="272"/>
        <item x="231"/>
        <item x="0"/>
        <item x="267"/>
        <item x="43"/>
        <item x="151"/>
        <item x="38"/>
        <item x="249"/>
        <item x="78"/>
        <item x="166"/>
        <item x="213"/>
        <item x="81"/>
        <item x="17"/>
        <item x="72"/>
        <item x="88"/>
        <item x="261"/>
        <item x="1"/>
        <item x="47"/>
        <item x="70"/>
        <item x="196"/>
        <item x="293"/>
        <item x="289"/>
        <item x="69"/>
        <item x="65"/>
        <item x="294"/>
        <item x="247"/>
        <item x="185"/>
        <item x="57"/>
        <item x="187"/>
        <item x="190"/>
        <item x="11"/>
        <item x="32"/>
        <item x="280"/>
        <item x="44"/>
        <item x="36"/>
        <item x="161"/>
        <item x="104"/>
        <item x="144"/>
        <item x="262"/>
        <item x="210"/>
        <item x="285"/>
        <item x="268"/>
        <item x="165"/>
        <item x="176"/>
        <item x="183"/>
        <item x="241"/>
        <item x="3"/>
        <item x="174"/>
        <item x="123"/>
        <item x="257"/>
        <item x="219"/>
        <item x="259"/>
        <item x="7"/>
        <item x="177"/>
        <item x="223"/>
        <item x="64"/>
        <item x="203"/>
        <item x="265"/>
        <item x="111"/>
        <item x="157"/>
        <item x="238"/>
        <item x="50"/>
        <item x="135"/>
        <item x="101"/>
        <item x="244"/>
        <item x="125"/>
        <item x="25"/>
        <item x="217"/>
        <item x="112"/>
        <item x="279"/>
        <item x="35"/>
        <item x="56"/>
        <item x="282"/>
        <item x="124"/>
        <item x="221"/>
        <item x="12"/>
        <item x="152"/>
        <item x="288"/>
        <item x="178"/>
        <item x="8"/>
        <item x="100"/>
        <item x="119"/>
        <item x="40"/>
        <item x="76"/>
        <item x="109"/>
        <item x="233"/>
        <item x="156"/>
        <item x="230"/>
        <item x="79"/>
        <item x="15"/>
        <item x="154"/>
        <item x="207"/>
        <item x="33"/>
        <item x="188"/>
        <item x="89"/>
        <item x="171"/>
        <item x="49"/>
        <item x="160"/>
        <item x="96"/>
        <item x="199"/>
        <item x="63"/>
        <item x="246"/>
        <item x="205"/>
        <item x="258"/>
        <item x="60"/>
        <item x="263"/>
        <item x="106"/>
        <item x="248"/>
        <item x="150"/>
        <item x="102"/>
        <item x="14"/>
        <item x="55"/>
        <item x="131"/>
        <item x="114"/>
        <item x="278"/>
        <item t="default"/>
      </items>
    </pivotField>
    <pivotField showAll="0">
      <items count="290">
        <item x="274"/>
        <item x="221"/>
        <item x="188"/>
        <item x="256"/>
        <item x="88"/>
        <item x="233"/>
        <item x="237"/>
        <item x="257"/>
        <item x="36"/>
        <item x="0"/>
        <item x="60"/>
        <item x="65"/>
        <item x="18"/>
        <item x="78"/>
        <item x="110"/>
        <item x="95"/>
        <item x="180"/>
        <item x="167"/>
        <item x="41"/>
        <item x="72"/>
        <item x="46"/>
        <item x="203"/>
        <item x="86"/>
        <item x="25"/>
        <item x="14"/>
        <item x="236"/>
        <item x="52"/>
        <item x="26"/>
        <item x="282"/>
        <item x="182"/>
        <item x="218"/>
        <item x="74"/>
        <item x="170"/>
        <item x="242"/>
        <item x="166"/>
        <item x="27"/>
        <item x="175"/>
        <item x="247"/>
        <item x="85"/>
        <item x="121"/>
        <item x="32"/>
        <item x="143"/>
        <item x="240"/>
        <item x="3"/>
        <item x="269"/>
        <item x="79"/>
        <item x="39"/>
        <item x="230"/>
        <item x="200"/>
        <item x="4"/>
        <item x="145"/>
        <item x="19"/>
        <item x="219"/>
        <item x="174"/>
        <item x="9"/>
        <item x="108"/>
        <item x="223"/>
        <item x="183"/>
        <item x="97"/>
        <item x="272"/>
        <item x="118"/>
        <item x="51"/>
        <item x="31"/>
        <item x="127"/>
        <item x="99"/>
        <item x="208"/>
        <item x="148"/>
        <item x="96"/>
        <item x="250"/>
        <item x="77"/>
        <item x="115"/>
        <item x="260"/>
        <item x="83"/>
        <item x="206"/>
        <item x="229"/>
        <item x="90"/>
        <item x="21"/>
        <item x="71"/>
        <item x="136"/>
        <item x="191"/>
        <item x="162"/>
        <item x="172"/>
        <item x="130"/>
        <item x="146"/>
        <item x="187"/>
        <item x="288"/>
        <item x="213"/>
        <item x="224"/>
        <item x="82"/>
        <item x="149"/>
        <item x="270"/>
        <item x="265"/>
        <item x="184"/>
        <item x="47"/>
        <item x="64"/>
        <item x="234"/>
        <item x="58"/>
        <item x="255"/>
        <item x="278"/>
        <item x="114"/>
        <item x="57"/>
        <item x="56"/>
        <item x="263"/>
        <item x="165"/>
        <item x="8"/>
        <item x="50"/>
        <item x="138"/>
        <item x="190"/>
        <item x="150"/>
        <item x="91"/>
        <item x="207"/>
        <item x="156"/>
        <item x="199"/>
        <item x="211"/>
        <item x="144"/>
        <item x="123"/>
        <item x="246"/>
        <item x="176"/>
        <item x="259"/>
        <item x="252"/>
        <item x="92"/>
        <item x="133"/>
        <item x="38"/>
        <item x="54"/>
        <item x="193"/>
        <item x="17"/>
        <item x="125"/>
        <item x="198"/>
        <item x="258"/>
        <item x="243"/>
        <item x="178"/>
        <item x="201"/>
        <item x="264"/>
        <item x="20"/>
        <item x="163"/>
        <item x="103"/>
        <item x="104"/>
        <item x="124"/>
        <item x="139"/>
        <item x="6"/>
        <item x="151"/>
        <item x="142"/>
        <item x="13"/>
        <item x="251"/>
        <item x="231"/>
        <item x="169"/>
        <item x="266"/>
        <item x="286"/>
        <item x="93"/>
        <item x="153"/>
        <item x="16"/>
        <item x="189"/>
        <item x="23"/>
        <item x="117"/>
        <item x="235"/>
        <item x="120"/>
        <item x="75"/>
        <item x="53"/>
        <item x="1"/>
        <item x="76"/>
        <item x="284"/>
        <item x="275"/>
        <item x="131"/>
        <item x="177"/>
        <item x="12"/>
        <item x="63"/>
        <item x="87"/>
        <item x="164"/>
        <item x="94"/>
        <item x="196"/>
        <item x="33"/>
        <item x="128"/>
        <item x="49"/>
        <item x="155"/>
        <item x="2"/>
        <item x="244"/>
        <item x="267"/>
        <item x="273"/>
        <item x="109"/>
        <item x="277"/>
        <item x="132"/>
        <item x="212"/>
        <item x="186"/>
        <item x="105"/>
        <item x="159"/>
        <item x="37"/>
        <item x="226"/>
        <item x="210"/>
        <item x="73"/>
        <item x="100"/>
        <item x="276"/>
        <item x="129"/>
        <item x="10"/>
        <item x="171"/>
        <item x="141"/>
        <item x="147"/>
        <item x="135"/>
        <item x="152"/>
        <item x="192"/>
        <item x="249"/>
        <item x="195"/>
        <item x="227"/>
        <item x="126"/>
        <item x="228"/>
        <item x="70"/>
        <item x="157"/>
        <item x="106"/>
        <item x="29"/>
        <item x="81"/>
        <item x="241"/>
        <item x="30"/>
        <item x="111"/>
        <item x="215"/>
        <item x="44"/>
        <item x="173"/>
        <item x="22"/>
        <item x="239"/>
        <item x="113"/>
        <item x="67"/>
        <item x="48"/>
        <item x="122"/>
        <item x="217"/>
        <item x="238"/>
        <item x="101"/>
        <item x="287"/>
        <item x="80"/>
        <item x="271"/>
        <item x="158"/>
        <item x="140"/>
        <item x="34"/>
        <item x="98"/>
        <item x="194"/>
        <item x="134"/>
        <item x="55"/>
        <item x="116"/>
        <item x="222"/>
        <item x="11"/>
        <item x="66"/>
        <item x="248"/>
        <item x="209"/>
        <item x="185"/>
        <item x="283"/>
        <item x="245"/>
        <item x="107"/>
        <item x="102"/>
        <item x="42"/>
        <item x="179"/>
        <item x="181"/>
        <item x="7"/>
        <item x="261"/>
        <item x="137"/>
        <item x="225"/>
        <item x="62"/>
        <item x="205"/>
        <item x="204"/>
        <item x="160"/>
        <item x="285"/>
        <item x="15"/>
        <item x="5"/>
        <item x="112"/>
        <item x="45"/>
        <item x="214"/>
        <item x="84"/>
        <item x="28"/>
        <item x="254"/>
        <item x="168"/>
        <item x="216"/>
        <item x="35"/>
        <item x="220"/>
        <item x="61"/>
        <item x="268"/>
        <item x="68"/>
        <item x="253"/>
        <item x="161"/>
        <item x="280"/>
        <item x="202"/>
        <item x="24"/>
        <item x="43"/>
        <item x="59"/>
        <item x="119"/>
        <item x="69"/>
        <item x="279"/>
        <item x="262"/>
        <item x="197"/>
        <item x="154"/>
        <item x="89"/>
        <item x="232"/>
        <item x="40"/>
        <item x="281"/>
        <item t="default"/>
      </items>
    </pivotField>
    <pivotField showAll="0"/>
    <pivotField showAll="0"/>
    <pivotField showAll="0"/>
    <pivotField showAll="0">
      <items count="3">
        <item x="0"/>
        <item x="1"/>
        <item t="default"/>
      </items>
    </pivotField>
    <pivotField showAll="0"/>
    <pivotField showAll="0"/>
    <pivotField showAll="0">
      <items count="11">
        <item m="1" x="9"/>
        <item x="0"/>
        <item x="3"/>
        <item x="7"/>
        <item x="5"/>
        <item x="1"/>
        <item x="2"/>
        <item x="6"/>
        <item x="4"/>
        <item x="8"/>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3"/>
  </rowFields>
  <rowItems count="6">
    <i>
      <x/>
    </i>
    <i>
      <x v="1"/>
    </i>
    <i>
      <x v="2"/>
    </i>
    <i>
      <x v="3"/>
    </i>
    <i>
      <x v="4"/>
    </i>
    <i t="grand">
      <x/>
    </i>
  </rowItems>
  <colItems count="1">
    <i/>
  </colItems>
  <dataFields count="1">
    <dataField name="Count of Employee_ID" fld="0" subtotal="count" baseField="0" baseItem="0"/>
  </dataFields>
  <formats count="10">
    <format dxfId="64">
      <pivotArea outline="0" collapsedLevelsAreSubtotals="1" fieldPosition="0"/>
    </format>
    <format dxfId="63">
      <pivotArea collapsedLevelsAreSubtotals="1" fieldPosition="0">
        <references count="1">
          <reference field="3" count="1">
            <x v="0"/>
          </reference>
        </references>
      </pivotArea>
    </format>
    <format dxfId="62">
      <pivotArea collapsedLevelsAreSubtotals="1" fieldPosition="0">
        <references count="1">
          <reference field="3" count="4">
            <x v="1"/>
            <x v="2"/>
            <x v="3"/>
            <x v="4"/>
          </reference>
        </references>
      </pivotArea>
    </format>
    <format dxfId="61">
      <pivotArea grandRow="1" outline="0" collapsedLevelsAreSubtotals="1" fieldPosition="0"/>
    </format>
    <format dxfId="60">
      <pivotArea type="all" dataOnly="0" outline="0" fieldPosition="0"/>
    </format>
    <format dxfId="59">
      <pivotArea outline="0" collapsedLevelsAreSubtotals="1" fieldPosition="0"/>
    </format>
    <format dxfId="58">
      <pivotArea field="3" type="button" dataOnly="0" labelOnly="1" outline="0" axis="axisRow" fieldPosition="0"/>
    </format>
    <format dxfId="57">
      <pivotArea dataOnly="0" labelOnly="1" fieldPosition="0">
        <references count="1">
          <reference field="3" count="0"/>
        </references>
      </pivotArea>
    </format>
    <format dxfId="56">
      <pivotArea dataOnly="0" labelOnly="1" grandRow="1" outline="0" fieldPosition="0"/>
    </format>
    <format dxfId="55">
      <pivotArea dataOnly="0" labelOnly="1" outline="0" axis="axisValues" fieldPosition="0"/>
    </format>
  </formats>
  <chartFormats count="19">
    <chartFormat chart="9"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1" format="2">
      <pivotArea type="data" outline="0" fieldPosition="0">
        <references count="2">
          <reference field="4294967294" count="1" selected="0">
            <x v="0"/>
          </reference>
          <reference field="3" count="1" selected="0">
            <x v="0"/>
          </reference>
        </references>
      </pivotArea>
    </chartFormat>
    <chartFormat chart="11" format="3">
      <pivotArea type="data" outline="0" fieldPosition="0">
        <references count="2">
          <reference field="4294967294" count="1" selected="0">
            <x v="0"/>
          </reference>
          <reference field="3" count="1" selected="0">
            <x v="1"/>
          </reference>
        </references>
      </pivotArea>
    </chartFormat>
    <chartFormat chart="11" format="4">
      <pivotArea type="data" outline="0" fieldPosition="0">
        <references count="2">
          <reference field="4294967294" count="1" selected="0">
            <x v="0"/>
          </reference>
          <reference field="3" count="1" selected="0">
            <x v="2"/>
          </reference>
        </references>
      </pivotArea>
    </chartFormat>
    <chartFormat chart="11" format="5">
      <pivotArea type="data" outline="0" fieldPosition="0">
        <references count="2">
          <reference field="4294967294" count="1" selected="0">
            <x v="0"/>
          </reference>
          <reference field="3" count="1" selected="0">
            <x v="3"/>
          </reference>
        </references>
      </pivotArea>
    </chartFormat>
    <chartFormat chart="11" format="6">
      <pivotArea type="data" outline="0" fieldPosition="0">
        <references count="2">
          <reference field="4294967294" count="1" selected="0">
            <x v="0"/>
          </reference>
          <reference field="3" count="1" selected="0">
            <x v="4"/>
          </reference>
        </references>
      </pivotArea>
    </chartFormat>
    <chartFormat chart="12" format="7" series="1">
      <pivotArea type="data" outline="0" fieldPosition="0">
        <references count="1">
          <reference field="4294967294" count="1" selected="0">
            <x v="0"/>
          </reference>
        </references>
      </pivotArea>
    </chartFormat>
    <chartFormat chart="12" format="8">
      <pivotArea type="data" outline="0" fieldPosition="0">
        <references count="2">
          <reference field="4294967294" count="1" selected="0">
            <x v="0"/>
          </reference>
          <reference field="3" count="1" selected="0">
            <x v="0"/>
          </reference>
        </references>
      </pivotArea>
    </chartFormat>
    <chartFormat chart="12" format="9">
      <pivotArea type="data" outline="0" fieldPosition="0">
        <references count="2">
          <reference field="4294967294" count="1" selected="0">
            <x v="0"/>
          </reference>
          <reference field="3" count="1" selected="0">
            <x v="1"/>
          </reference>
        </references>
      </pivotArea>
    </chartFormat>
    <chartFormat chart="12" format="10">
      <pivotArea type="data" outline="0" fieldPosition="0">
        <references count="2">
          <reference field="4294967294" count="1" selected="0">
            <x v="0"/>
          </reference>
          <reference field="3" count="1" selected="0">
            <x v="2"/>
          </reference>
        </references>
      </pivotArea>
    </chartFormat>
    <chartFormat chart="12" format="11">
      <pivotArea type="data" outline="0" fieldPosition="0">
        <references count="2">
          <reference field="4294967294" count="1" selected="0">
            <x v="0"/>
          </reference>
          <reference field="3" count="1" selected="0">
            <x v="3"/>
          </reference>
        </references>
      </pivotArea>
    </chartFormat>
    <chartFormat chart="12" format="12">
      <pivotArea type="data" outline="0" fieldPosition="0">
        <references count="2">
          <reference field="4294967294" count="1" selected="0">
            <x v="0"/>
          </reference>
          <reference field="3" count="1" selected="0">
            <x v="4"/>
          </reference>
        </references>
      </pivotArea>
    </chartFormat>
    <chartFormat chart="13" format="7" series="1">
      <pivotArea type="data" outline="0" fieldPosition="0">
        <references count="1">
          <reference field="4294967294" count="1" selected="0">
            <x v="0"/>
          </reference>
        </references>
      </pivotArea>
    </chartFormat>
    <chartFormat chart="13" format="8">
      <pivotArea type="data" outline="0" fieldPosition="0">
        <references count="2">
          <reference field="4294967294" count="1" selected="0">
            <x v="0"/>
          </reference>
          <reference field="3" count="1" selected="0">
            <x v="0"/>
          </reference>
        </references>
      </pivotArea>
    </chartFormat>
    <chartFormat chart="13" format="9">
      <pivotArea type="data" outline="0" fieldPosition="0">
        <references count="2">
          <reference field="4294967294" count="1" selected="0">
            <x v="0"/>
          </reference>
          <reference field="3" count="1" selected="0">
            <x v="1"/>
          </reference>
        </references>
      </pivotArea>
    </chartFormat>
    <chartFormat chart="13" format="10">
      <pivotArea type="data" outline="0" fieldPosition="0">
        <references count="2">
          <reference field="4294967294" count="1" selected="0">
            <x v="0"/>
          </reference>
          <reference field="3" count="1" selected="0">
            <x v="2"/>
          </reference>
        </references>
      </pivotArea>
    </chartFormat>
    <chartFormat chart="13" format="11">
      <pivotArea type="data" outline="0" fieldPosition="0">
        <references count="2">
          <reference field="4294967294" count="1" selected="0">
            <x v="0"/>
          </reference>
          <reference field="3" count="1" selected="0">
            <x v="3"/>
          </reference>
        </references>
      </pivotArea>
    </chartFormat>
    <chartFormat chart="13"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56187C7-7E84-4FC9-B3B8-D5CABAAF1700}" sourceName="Department">
  <pivotTables>
    <pivotTable tabId="2" name="AVGbyDept"/>
    <pivotTable tabId="2" name="AbyDept"/>
    <pivotTable tabId="2" name="AbyAGE"/>
    <pivotTable tabId="2" name="HCbyDept"/>
    <pivotTable tabId="2" name="HiringJOINED"/>
    <pivotTable tabId="2" name="RatingbyGen"/>
    <pivotTable tabId="2" name="HiringLEFT"/>
    <pivotTable tabId="2" name="AttrbyPerRating"/>
  </pivotTables>
  <data>
    <tabular pivotCacheId="1726585270">
      <items count="5">
        <i x="4" s="1"/>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CB1DCCDC-BCF2-401A-8C5E-9DCE50B3BDA6}" sourceName="Job_Role">
  <pivotTables>
    <pivotTable tabId="2" name="HiringLEFT"/>
    <pivotTable tabId="2" name="AbyAGE"/>
    <pivotTable tabId="2" name="AbyDept"/>
    <pivotTable tabId="2" name="AVGbyDept"/>
    <pivotTable tabId="2" name="HiringJOINED"/>
    <pivotTable tabId="2" name="RatingbyGen"/>
  </pivotTables>
  <data>
    <tabular pivotCacheId="1726585270">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_Life_Balance" xr10:uid="{56EA61D0-F4CC-4C5A-A4DD-75967FAF2DDF}" sourceName="Work_Life_Balance">
  <pivotTables>
    <pivotTable tabId="2" name="HiringLEFT"/>
    <pivotTable tabId="2" name="AbyAGE"/>
    <pivotTable tabId="2" name="RatingbyGen"/>
    <pivotTable tabId="2" name="HiringJOINED"/>
  </pivotTables>
  <data>
    <tabular pivotCacheId="1726585270">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2019B92C-67F2-476D-A668-B125F5A62237}" cache="Slicer_Department" caption="Department" style="MYslicer" rowHeight="234950"/>
  <slicer name="Job_Role" xr10:uid="{2FC4DDA8-30D2-4C23-AF42-9330463B760B}" cache="Slicer_Job_Role" caption="Job_Role" style="MYslicer" rowHeight="234950"/>
  <slicer name="Work_Life_Balance" xr10:uid="{751BA869-A104-4E39-BF7A-FE57E778F70C}" cache="Slicer_Work_Life_Balance" caption="Work_Life_Balance" style="MY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7C86E3-E1F0-4A9E-8C1D-9BD67567F94E}" name="HR_Table" displayName="HR_Table" ref="A1:O301" totalsRowShown="0" headerRowDxfId="71" headerRowBorderDxfId="70" tableBorderDxfId="69">
  <autoFilter ref="A1:O301" xr:uid="{737C86E3-E1F0-4A9E-8C1D-9BD67567F94E}"/>
  <tableColumns count="15">
    <tableColumn id="1" xr3:uid="{013D97D6-F068-42BA-B60A-62E793362B60}" name="Employee_ID"/>
    <tableColumn id="2" xr3:uid="{E51211D9-591D-4B40-93A8-22257C3DF6C0}" name="Gender"/>
    <tableColumn id="3" xr3:uid="{2BBFDF0C-1BFF-4089-BB52-1451DD089317}" name="Age"/>
    <tableColumn id="4" xr3:uid="{15751397-54AF-403E-A8D1-F8ED28C8CBAB}" name="Department"/>
    <tableColumn id="5" xr3:uid="{7E1DCEFE-A385-43CF-A589-637F850BA7F0}" name="Job_Role"/>
    <tableColumn id="6" xr3:uid="{E74EE036-15C4-4E64-A305-5E92403C893C}" name="Education"/>
    <tableColumn id="7" xr3:uid="{D7BEFFEB-97BD-447E-B0A7-D7AE553BC4A6}" name="Monthly_Salary"/>
    <tableColumn id="8" xr3:uid="{8D6C760E-0790-41F7-90E5-5DFD0FAEC104}" name="Joining_Date" dataDxfId="68"/>
    <tableColumn id="9" xr3:uid="{5EBE2050-8A6F-47D7-BCAE-ED041D18D0C5}" name="Exit_Date"/>
    <tableColumn id="10" xr3:uid="{64C7A4F6-7C99-433C-BC9C-9A6916EA360A}" name="Performance_Rating"/>
    <tableColumn id="11" xr3:uid="{637B2A9E-F9F0-4672-A1F7-20D9C77D8468}" name="Work_Life_Balance"/>
    <tableColumn id="12" xr3:uid="{1BE8F9C7-FA24-4756-AA61-B5820B5AE722}" name="Attrition"/>
    <tableColumn id="13" xr3:uid="{E01B53D7-3F72-4576-AD41-338B258646D1}" name="Years_or_Service" dataDxfId="67">
      <calculatedColumnFormula>IF(HR_Table[[#This Row],[Exit_Date]]="",DATEDIF(HR_Table[[#This Row],[Joining_Date]],TODAY(),"Y"),DATEDIF(HR_Table[[#This Row],[Joining_Date]],HR_Table[[#This Row],[Exit_Date]],"Y"))</calculatedColumnFormula>
    </tableColumn>
    <tableColumn id="14" xr3:uid="{6C22CF13-700E-4C04-B80C-904C81DC64DA}" name="Age_Group" dataDxfId="66">
      <calculatedColumnFormula>IF(HR_Table[[#This Row],[Age]]&lt;30,"Under 30",IF(HR_Table[[#This Row],[Age]]&lt;=40,"30-40","Above 40"))</calculatedColumnFormula>
    </tableColumn>
    <tableColumn id="15" xr3:uid="{BFC1947B-9824-4A6B-8BDA-BB2C04E85B98}" name="Join_Year" dataDxfId="65">
      <calculatedColumnFormula>YEAR(HR_Table[[#This Row],[Joining_Date]])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01"/>
  <sheetViews>
    <sheetView workbookViewId="0">
      <selection activeCell="P4" sqref="P4"/>
    </sheetView>
  </sheetViews>
  <sheetFormatPr defaultRowHeight="14.4" x14ac:dyDescent="0.3"/>
  <cols>
    <col min="1" max="1" width="14" customWidth="1"/>
    <col min="2" max="2" width="9" customWidth="1"/>
    <col min="3" max="3" width="6.109375" customWidth="1"/>
    <col min="4" max="4" width="13" customWidth="1"/>
    <col min="5" max="5" width="10.44140625" customWidth="1"/>
    <col min="6" max="6" width="12.5546875" bestFit="1" customWidth="1"/>
    <col min="7" max="7" width="16.21875" customWidth="1"/>
    <col min="8" max="8" width="13.6640625" customWidth="1"/>
    <col min="9" max="9" width="10.77734375" customWidth="1"/>
    <col min="10" max="10" width="20.109375" customWidth="1"/>
    <col min="11" max="11" width="19" customWidth="1"/>
    <col min="12" max="12" width="9.88671875" customWidth="1"/>
    <col min="13" max="13" width="19.77734375" bestFit="1" customWidth="1"/>
    <col min="14" max="14" width="14.88671875" bestFit="1" customWidth="1"/>
  </cols>
  <sheetData>
    <row r="1" spans="1:15" x14ac:dyDescent="0.3">
      <c r="A1" s="2" t="s">
        <v>0</v>
      </c>
      <c r="B1" s="2" t="s">
        <v>1</v>
      </c>
      <c r="C1" s="2" t="s">
        <v>2</v>
      </c>
      <c r="D1" s="2" t="s">
        <v>3</v>
      </c>
      <c r="E1" s="2" t="s">
        <v>4</v>
      </c>
      <c r="F1" s="2" t="s">
        <v>5</v>
      </c>
      <c r="G1" s="2" t="s">
        <v>6</v>
      </c>
      <c r="H1" s="2" t="s">
        <v>7</v>
      </c>
      <c r="I1" s="2" t="s">
        <v>8</v>
      </c>
      <c r="J1" s="2" t="s">
        <v>9</v>
      </c>
      <c r="K1" s="2" t="s">
        <v>10</v>
      </c>
      <c r="L1" s="2" t="s">
        <v>11</v>
      </c>
      <c r="M1" s="2" t="s">
        <v>331</v>
      </c>
      <c r="N1" s="2" t="s">
        <v>332</v>
      </c>
      <c r="O1" s="2" t="s">
        <v>338</v>
      </c>
    </row>
    <row r="2" spans="1:15" x14ac:dyDescent="0.3">
      <c r="A2" t="s">
        <v>12</v>
      </c>
      <c r="B2" t="s">
        <v>312</v>
      </c>
      <c r="C2">
        <v>36</v>
      </c>
      <c r="D2" t="s">
        <v>314</v>
      </c>
      <c r="E2" t="s">
        <v>319</v>
      </c>
      <c r="F2" t="s">
        <v>323</v>
      </c>
      <c r="G2">
        <v>69348</v>
      </c>
      <c r="H2" s="1">
        <v>42472</v>
      </c>
      <c r="J2">
        <v>2</v>
      </c>
      <c r="K2" t="s">
        <v>325</v>
      </c>
      <c r="L2" t="s">
        <v>329</v>
      </c>
      <c r="M2">
        <f ca="1">IF(HR_Table[[#This Row],[Exit_Date]]="",DATEDIF(HR_Table[[#This Row],[Joining_Date]],TODAY(),"Y"),DATEDIF(HR_Table[[#This Row],[Joining_Date]],HR_Table[[#This Row],[Exit_Date]],"Y"))</f>
        <v>9</v>
      </c>
      <c r="N2" t="str">
        <f>IF(HR_Table[[#This Row],[Age]]&lt;30,"Under 30",IF(HR_Table[[#This Row],[Age]]&lt;=40,"30-40","Above 40"))</f>
        <v>30-40</v>
      </c>
      <c r="O2">
        <f>YEAR(HR_Table[[#This Row],[Joining_Date]])</f>
        <v>2016</v>
      </c>
    </row>
    <row r="3" spans="1:15" x14ac:dyDescent="0.3">
      <c r="A3" t="s">
        <v>13</v>
      </c>
      <c r="B3" t="s">
        <v>312</v>
      </c>
      <c r="C3">
        <v>36</v>
      </c>
      <c r="D3" t="s">
        <v>315</v>
      </c>
      <c r="E3" t="s">
        <v>319</v>
      </c>
      <c r="F3" t="s">
        <v>323</v>
      </c>
      <c r="G3">
        <v>71925</v>
      </c>
      <c r="H3" s="1">
        <v>44098</v>
      </c>
      <c r="I3" s="1">
        <v>44589</v>
      </c>
      <c r="J3">
        <v>5</v>
      </c>
      <c r="K3" t="s">
        <v>326</v>
      </c>
      <c r="L3" t="s">
        <v>330</v>
      </c>
      <c r="M3">
        <f ca="1">IF(HR_Table[[#This Row],[Exit_Date]]="",DATEDIF(HR_Table[[#This Row],[Joining_Date]],TODAY(),"Y"),DATEDIF(HR_Table[[#This Row],[Joining_Date]],HR_Table[[#This Row],[Exit_Date]],"Y"))</f>
        <v>1</v>
      </c>
      <c r="N3" t="str">
        <f>IF(HR_Table[[#This Row],[Age]]&lt;30,"Under 30",IF(HR_Table[[#This Row],[Age]]&lt;=40,"30-40","Above 40"))</f>
        <v>30-40</v>
      </c>
      <c r="O3">
        <f>YEAR(HR_Table[[#This Row],[Joining_Date]])</f>
        <v>2020</v>
      </c>
    </row>
    <row r="4" spans="1:15" x14ac:dyDescent="0.3">
      <c r="A4" t="s">
        <v>14</v>
      </c>
      <c r="B4" t="s">
        <v>312</v>
      </c>
      <c r="C4">
        <v>32</v>
      </c>
      <c r="D4" t="s">
        <v>316</v>
      </c>
      <c r="E4" t="s">
        <v>320</v>
      </c>
      <c r="F4" t="s">
        <v>324</v>
      </c>
      <c r="G4">
        <v>43210</v>
      </c>
      <c r="H4" s="1">
        <v>44209</v>
      </c>
      <c r="J4">
        <v>2</v>
      </c>
      <c r="K4" t="s">
        <v>327</v>
      </c>
      <c r="L4" t="s">
        <v>329</v>
      </c>
      <c r="M4">
        <f ca="1">IF(HR_Table[[#This Row],[Exit_Date]]="",DATEDIF(HR_Table[[#This Row],[Joining_Date]],TODAY(),"Y"),DATEDIF(HR_Table[[#This Row],[Joining_Date]],HR_Table[[#This Row],[Exit_Date]],"Y"))</f>
        <v>5</v>
      </c>
      <c r="N4" t="str">
        <f>IF(HR_Table[[#This Row],[Age]]&lt;30,"Under 30",IF(HR_Table[[#This Row],[Age]]&lt;=40,"30-40","Above 40"))</f>
        <v>30-40</v>
      </c>
      <c r="O4">
        <f>YEAR(HR_Table[[#This Row],[Joining_Date]])</f>
        <v>2021</v>
      </c>
    </row>
    <row r="5" spans="1:15" x14ac:dyDescent="0.3">
      <c r="A5" t="s">
        <v>15</v>
      </c>
      <c r="B5" t="s">
        <v>313</v>
      </c>
      <c r="C5">
        <v>44</v>
      </c>
      <c r="D5" t="s">
        <v>317</v>
      </c>
      <c r="E5" t="s">
        <v>320</v>
      </c>
      <c r="F5" t="s">
        <v>324</v>
      </c>
      <c r="G5">
        <v>77895</v>
      </c>
      <c r="H5" s="1">
        <v>42788</v>
      </c>
      <c r="I5" s="1">
        <v>43286</v>
      </c>
      <c r="J5">
        <v>1</v>
      </c>
      <c r="K5" t="s">
        <v>326</v>
      </c>
      <c r="L5" t="s">
        <v>330</v>
      </c>
      <c r="M5">
        <f ca="1">IF(HR_Table[[#This Row],[Exit_Date]]="",DATEDIF(HR_Table[[#This Row],[Joining_Date]],TODAY(),"Y"),DATEDIF(HR_Table[[#This Row],[Joining_Date]],HR_Table[[#This Row],[Exit_Date]],"Y"))</f>
        <v>1</v>
      </c>
      <c r="N5" t="str">
        <f>IF(HR_Table[[#This Row],[Age]]&lt;30,"Under 30",IF(HR_Table[[#This Row],[Age]]&lt;=40,"30-40","Above 40"))</f>
        <v>Above 40</v>
      </c>
      <c r="O5">
        <f>YEAR(HR_Table[[#This Row],[Joining_Date]])</f>
        <v>2017</v>
      </c>
    </row>
    <row r="6" spans="1:15" x14ac:dyDescent="0.3">
      <c r="A6" t="s">
        <v>16</v>
      </c>
      <c r="B6" t="s">
        <v>313</v>
      </c>
      <c r="C6">
        <v>27</v>
      </c>
      <c r="D6" t="s">
        <v>315</v>
      </c>
      <c r="E6" t="s">
        <v>320</v>
      </c>
      <c r="F6" t="s">
        <v>324</v>
      </c>
      <c r="G6">
        <v>62837</v>
      </c>
      <c r="H6" s="1">
        <v>42881</v>
      </c>
      <c r="J6">
        <v>2</v>
      </c>
      <c r="K6" t="s">
        <v>325</v>
      </c>
      <c r="L6" t="s">
        <v>329</v>
      </c>
      <c r="M6">
        <f ca="1">IF(HR_Table[[#This Row],[Exit_Date]]="",DATEDIF(HR_Table[[#This Row],[Joining_Date]],TODAY(),"Y"),DATEDIF(HR_Table[[#This Row],[Joining_Date]],HR_Table[[#This Row],[Exit_Date]],"Y"))</f>
        <v>8</v>
      </c>
      <c r="N6" t="str">
        <f>IF(HR_Table[[#This Row],[Age]]&lt;30,"Under 30",IF(HR_Table[[#This Row],[Age]]&lt;=40,"30-40","Above 40"))</f>
        <v>Under 30</v>
      </c>
      <c r="O6">
        <f>YEAR(HR_Table[[#This Row],[Joining_Date]])</f>
        <v>2017</v>
      </c>
    </row>
    <row r="7" spans="1:15" x14ac:dyDescent="0.3">
      <c r="A7" t="s">
        <v>17</v>
      </c>
      <c r="B7" t="s">
        <v>312</v>
      </c>
      <c r="C7">
        <v>36</v>
      </c>
      <c r="D7" t="s">
        <v>314</v>
      </c>
      <c r="E7" t="s">
        <v>319</v>
      </c>
      <c r="F7" t="s">
        <v>324</v>
      </c>
      <c r="G7">
        <v>43217</v>
      </c>
      <c r="H7" s="1">
        <v>45078</v>
      </c>
      <c r="J7">
        <v>4</v>
      </c>
      <c r="K7" t="s">
        <v>328</v>
      </c>
      <c r="L7" t="s">
        <v>329</v>
      </c>
      <c r="M7">
        <f ca="1">IF(HR_Table[[#This Row],[Exit_Date]]="",DATEDIF(HR_Table[[#This Row],[Joining_Date]],TODAY(),"Y"),DATEDIF(HR_Table[[#This Row],[Joining_Date]],HR_Table[[#This Row],[Exit_Date]],"Y"))</f>
        <v>2</v>
      </c>
      <c r="N7" t="str">
        <f>IF(HR_Table[[#This Row],[Age]]&lt;30,"Under 30",IF(HR_Table[[#This Row],[Age]]&lt;=40,"30-40","Above 40"))</f>
        <v>30-40</v>
      </c>
      <c r="O7">
        <f>YEAR(HR_Table[[#This Row],[Joining_Date]])</f>
        <v>2023</v>
      </c>
    </row>
    <row r="8" spans="1:15" x14ac:dyDescent="0.3">
      <c r="A8" t="s">
        <v>18</v>
      </c>
      <c r="B8" t="s">
        <v>313</v>
      </c>
      <c r="C8">
        <v>26</v>
      </c>
      <c r="D8" t="s">
        <v>316</v>
      </c>
      <c r="E8" t="s">
        <v>319</v>
      </c>
      <c r="F8" t="s">
        <v>323</v>
      </c>
      <c r="G8">
        <v>35708</v>
      </c>
      <c r="H8" s="1">
        <v>43886</v>
      </c>
      <c r="J8">
        <v>4</v>
      </c>
      <c r="K8" t="s">
        <v>326</v>
      </c>
      <c r="L8" t="s">
        <v>329</v>
      </c>
      <c r="M8">
        <f ca="1">IF(HR_Table[[#This Row],[Exit_Date]]="",DATEDIF(HR_Table[[#This Row],[Joining_Date]],TODAY(),"Y"),DATEDIF(HR_Table[[#This Row],[Joining_Date]],HR_Table[[#This Row],[Exit_Date]],"Y"))</f>
        <v>6</v>
      </c>
      <c r="N8" t="str">
        <f>IF(HR_Table[[#This Row],[Age]]&lt;30,"Under 30",IF(HR_Table[[#This Row],[Age]]&lt;=40,"30-40","Above 40"))</f>
        <v>Under 30</v>
      </c>
      <c r="O8">
        <f>YEAR(HR_Table[[#This Row],[Joining_Date]])</f>
        <v>2020</v>
      </c>
    </row>
    <row r="9" spans="1:15" x14ac:dyDescent="0.3">
      <c r="A9" t="s">
        <v>19</v>
      </c>
      <c r="B9" t="s">
        <v>312</v>
      </c>
      <c r="C9">
        <v>42</v>
      </c>
      <c r="D9" t="s">
        <v>317</v>
      </c>
      <c r="E9" t="s">
        <v>321</v>
      </c>
      <c r="F9" t="s">
        <v>323</v>
      </c>
      <c r="G9">
        <v>78857</v>
      </c>
      <c r="H9" s="1">
        <v>44991</v>
      </c>
      <c r="J9">
        <v>1</v>
      </c>
      <c r="K9" t="s">
        <v>328</v>
      </c>
      <c r="L9" t="s">
        <v>329</v>
      </c>
      <c r="M9">
        <f ca="1">IF(HR_Table[[#This Row],[Exit_Date]]="",DATEDIF(HR_Table[[#This Row],[Joining_Date]],TODAY(),"Y"),DATEDIF(HR_Table[[#This Row],[Joining_Date]],HR_Table[[#This Row],[Exit_Date]],"Y"))</f>
        <v>3</v>
      </c>
      <c r="N9" t="str">
        <f>IF(HR_Table[[#This Row],[Age]]&lt;30,"Under 30",IF(HR_Table[[#This Row],[Age]]&lt;=40,"30-40","Above 40"))</f>
        <v>Above 40</v>
      </c>
      <c r="O9">
        <f>YEAR(HR_Table[[#This Row],[Joining_Date]])</f>
        <v>2023</v>
      </c>
    </row>
    <row r="10" spans="1:15" x14ac:dyDescent="0.3">
      <c r="A10" t="s">
        <v>20</v>
      </c>
      <c r="B10" t="s">
        <v>313</v>
      </c>
      <c r="C10">
        <v>35</v>
      </c>
      <c r="D10" t="s">
        <v>318</v>
      </c>
      <c r="E10" t="s">
        <v>320</v>
      </c>
      <c r="F10" t="s">
        <v>324</v>
      </c>
      <c r="G10">
        <v>82978</v>
      </c>
      <c r="H10" s="1">
        <v>43466</v>
      </c>
      <c r="I10" s="1">
        <v>44927</v>
      </c>
      <c r="J10">
        <v>4</v>
      </c>
      <c r="K10" t="s">
        <v>327</v>
      </c>
      <c r="L10" t="s">
        <v>330</v>
      </c>
      <c r="M10">
        <f ca="1">IF(HR_Table[[#This Row],[Exit_Date]]="",DATEDIF(HR_Table[[#This Row],[Joining_Date]],TODAY(),"Y"),DATEDIF(HR_Table[[#This Row],[Joining_Date]],HR_Table[[#This Row],[Exit_Date]],"Y"))</f>
        <v>4</v>
      </c>
      <c r="N10" t="str">
        <f>IF(HR_Table[[#This Row],[Age]]&lt;30,"Under 30",IF(HR_Table[[#This Row],[Age]]&lt;=40,"30-40","Above 40"))</f>
        <v>30-40</v>
      </c>
      <c r="O10">
        <f>YEAR(HR_Table[[#This Row],[Joining_Date]])</f>
        <v>2019</v>
      </c>
    </row>
    <row r="11" spans="1:15" x14ac:dyDescent="0.3">
      <c r="A11" t="s">
        <v>21</v>
      </c>
      <c r="B11" t="s">
        <v>313</v>
      </c>
      <c r="C11">
        <v>49</v>
      </c>
      <c r="D11" t="s">
        <v>317</v>
      </c>
      <c r="E11" t="s">
        <v>320</v>
      </c>
      <c r="F11" t="s">
        <v>324</v>
      </c>
      <c r="G11">
        <v>48723</v>
      </c>
      <c r="H11" s="1">
        <v>42941</v>
      </c>
      <c r="I11" s="1">
        <v>44390</v>
      </c>
      <c r="J11">
        <v>2</v>
      </c>
      <c r="K11" t="s">
        <v>327</v>
      </c>
      <c r="L11" t="s">
        <v>330</v>
      </c>
      <c r="M11">
        <f ca="1">IF(HR_Table[[#This Row],[Exit_Date]]="",DATEDIF(HR_Table[[#This Row],[Joining_Date]],TODAY(),"Y"),DATEDIF(HR_Table[[#This Row],[Joining_Date]],HR_Table[[#This Row],[Exit_Date]],"Y"))</f>
        <v>3</v>
      </c>
      <c r="N11" t="str">
        <f>IF(HR_Table[[#This Row],[Age]]&lt;30,"Under 30",IF(HR_Table[[#This Row],[Age]]&lt;=40,"30-40","Above 40"))</f>
        <v>Above 40</v>
      </c>
      <c r="O11">
        <f>YEAR(HR_Table[[#This Row],[Joining_Date]])</f>
        <v>2017</v>
      </c>
    </row>
    <row r="12" spans="1:15" x14ac:dyDescent="0.3">
      <c r="A12" t="s">
        <v>22</v>
      </c>
      <c r="B12" t="s">
        <v>312</v>
      </c>
      <c r="C12">
        <v>31</v>
      </c>
      <c r="D12" t="s">
        <v>315</v>
      </c>
      <c r="E12" t="s">
        <v>319</v>
      </c>
      <c r="F12" t="s">
        <v>324</v>
      </c>
      <c r="G12">
        <v>64086</v>
      </c>
      <c r="H12" s="1">
        <v>44391</v>
      </c>
      <c r="I12" s="1">
        <v>44787</v>
      </c>
      <c r="J12">
        <v>1</v>
      </c>
      <c r="K12" t="s">
        <v>326</v>
      </c>
      <c r="L12" t="s">
        <v>330</v>
      </c>
      <c r="M12">
        <f ca="1">IF(HR_Table[[#This Row],[Exit_Date]]="",DATEDIF(HR_Table[[#This Row],[Joining_Date]],TODAY(),"Y"),DATEDIF(HR_Table[[#This Row],[Joining_Date]],HR_Table[[#This Row],[Exit_Date]],"Y"))</f>
        <v>1</v>
      </c>
      <c r="N12" t="str">
        <f>IF(HR_Table[[#This Row],[Age]]&lt;30,"Under 30",IF(HR_Table[[#This Row],[Age]]&lt;=40,"30-40","Above 40"))</f>
        <v>30-40</v>
      </c>
      <c r="O12">
        <f>YEAR(HR_Table[[#This Row],[Joining_Date]])</f>
        <v>2021</v>
      </c>
    </row>
    <row r="13" spans="1:15" x14ac:dyDescent="0.3">
      <c r="A13" t="s">
        <v>23</v>
      </c>
      <c r="B13" t="s">
        <v>313</v>
      </c>
      <c r="C13">
        <v>22</v>
      </c>
      <c r="D13" t="s">
        <v>318</v>
      </c>
      <c r="E13" t="s">
        <v>321</v>
      </c>
      <c r="F13" t="s">
        <v>324</v>
      </c>
      <c r="G13">
        <v>75370</v>
      </c>
      <c r="H13" s="1">
        <v>44810</v>
      </c>
      <c r="J13">
        <v>3</v>
      </c>
      <c r="K13" t="s">
        <v>325</v>
      </c>
      <c r="L13" t="s">
        <v>329</v>
      </c>
      <c r="M13">
        <f ca="1">IF(HR_Table[[#This Row],[Exit_Date]]="",DATEDIF(HR_Table[[#This Row],[Joining_Date]],TODAY(),"Y"),DATEDIF(HR_Table[[#This Row],[Joining_Date]],HR_Table[[#This Row],[Exit_Date]],"Y"))</f>
        <v>3</v>
      </c>
      <c r="N13" t="str">
        <f>IF(HR_Table[[#This Row],[Age]]&lt;30,"Under 30",IF(HR_Table[[#This Row],[Age]]&lt;=40,"30-40","Above 40"))</f>
        <v>Under 30</v>
      </c>
      <c r="O13">
        <f>YEAR(HR_Table[[#This Row],[Joining_Date]])</f>
        <v>2022</v>
      </c>
    </row>
    <row r="14" spans="1:15" x14ac:dyDescent="0.3">
      <c r="A14" t="s">
        <v>24</v>
      </c>
      <c r="B14" t="s">
        <v>313</v>
      </c>
      <c r="C14">
        <v>54</v>
      </c>
      <c r="D14" t="s">
        <v>317</v>
      </c>
      <c r="E14" t="s">
        <v>321</v>
      </c>
      <c r="F14" t="s">
        <v>323</v>
      </c>
      <c r="G14">
        <v>82050</v>
      </c>
      <c r="H14" s="1">
        <v>44150</v>
      </c>
      <c r="I14" s="1">
        <v>44456</v>
      </c>
      <c r="J14">
        <v>3</v>
      </c>
      <c r="K14" t="s">
        <v>327</v>
      </c>
      <c r="L14" t="s">
        <v>330</v>
      </c>
      <c r="M14">
        <f ca="1">IF(HR_Table[[#This Row],[Exit_Date]]="",DATEDIF(HR_Table[[#This Row],[Joining_Date]],TODAY(),"Y"),DATEDIF(HR_Table[[#This Row],[Joining_Date]],HR_Table[[#This Row],[Exit_Date]],"Y"))</f>
        <v>0</v>
      </c>
      <c r="N14" t="str">
        <f>IF(HR_Table[[#This Row],[Age]]&lt;30,"Under 30",IF(HR_Table[[#This Row],[Age]]&lt;=40,"30-40","Above 40"))</f>
        <v>Above 40</v>
      </c>
      <c r="O14">
        <f>YEAR(HR_Table[[#This Row],[Joining_Date]])</f>
        <v>2020</v>
      </c>
    </row>
    <row r="15" spans="1:15" x14ac:dyDescent="0.3">
      <c r="A15" t="s">
        <v>25</v>
      </c>
      <c r="B15" t="s">
        <v>312</v>
      </c>
      <c r="C15">
        <v>42</v>
      </c>
      <c r="D15" t="s">
        <v>316</v>
      </c>
      <c r="E15" t="s">
        <v>320</v>
      </c>
      <c r="F15" t="s">
        <v>323</v>
      </c>
      <c r="G15">
        <v>32331</v>
      </c>
      <c r="H15" s="1">
        <v>43901</v>
      </c>
      <c r="J15">
        <v>3</v>
      </c>
      <c r="K15" t="s">
        <v>328</v>
      </c>
      <c r="L15" t="s">
        <v>329</v>
      </c>
      <c r="M15">
        <f ca="1">IF(HR_Table[[#This Row],[Exit_Date]]="",DATEDIF(HR_Table[[#This Row],[Joining_Date]],TODAY(),"Y"),DATEDIF(HR_Table[[#This Row],[Joining_Date]],HR_Table[[#This Row],[Exit_Date]],"Y"))</f>
        <v>6</v>
      </c>
      <c r="N15" t="str">
        <f>IF(HR_Table[[#This Row],[Age]]&lt;30,"Under 30",IF(HR_Table[[#This Row],[Age]]&lt;=40,"30-40","Above 40"))</f>
        <v>Above 40</v>
      </c>
      <c r="O15">
        <f>YEAR(HR_Table[[#This Row],[Joining_Date]])</f>
        <v>2020</v>
      </c>
    </row>
    <row r="16" spans="1:15" x14ac:dyDescent="0.3">
      <c r="A16" t="s">
        <v>26</v>
      </c>
      <c r="B16" t="s">
        <v>312</v>
      </c>
      <c r="C16">
        <v>27</v>
      </c>
      <c r="D16" t="s">
        <v>316</v>
      </c>
      <c r="E16" t="s">
        <v>320</v>
      </c>
      <c r="F16" t="s">
        <v>323</v>
      </c>
      <c r="G16">
        <v>89093</v>
      </c>
      <c r="H16" s="1">
        <v>42607</v>
      </c>
      <c r="I16" s="1">
        <v>44068</v>
      </c>
      <c r="J16">
        <v>5</v>
      </c>
      <c r="K16" t="s">
        <v>327</v>
      </c>
      <c r="L16" t="s">
        <v>330</v>
      </c>
      <c r="M16">
        <f ca="1">IF(HR_Table[[#This Row],[Exit_Date]]="",DATEDIF(HR_Table[[#This Row],[Joining_Date]],TODAY(),"Y"),DATEDIF(HR_Table[[#This Row],[Joining_Date]],HR_Table[[#This Row],[Exit_Date]],"Y"))</f>
        <v>4</v>
      </c>
      <c r="N16" t="str">
        <f>IF(HR_Table[[#This Row],[Age]]&lt;30,"Under 30",IF(HR_Table[[#This Row],[Age]]&lt;=40,"30-40","Above 40"))</f>
        <v>Under 30</v>
      </c>
      <c r="O16">
        <f>YEAR(HR_Table[[#This Row],[Joining_Date]])</f>
        <v>2016</v>
      </c>
    </row>
    <row r="17" spans="1:15" x14ac:dyDescent="0.3">
      <c r="A17" t="s">
        <v>27</v>
      </c>
      <c r="B17" t="s">
        <v>312</v>
      </c>
      <c r="C17">
        <v>38</v>
      </c>
      <c r="D17" t="s">
        <v>316</v>
      </c>
      <c r="E17" t="s">
        <v>320</v>
      </c>
      <c r="F17" t="s">
        <v>323</v>
      </c>
      <c r="G17">
        <v>85877</v>
      </c>
      <c r="H17" s="1">
        <v>45072</v>
      </c>
      <c r="J17">
        <v>5</v>
      </c>
      <c r="K17" t="s">
        <v>327</v>
      </c>
      <c r="L17" t="s">
        <v>329</v>
      </c>
      <c r="M17">
        <f ca="1">IF(HR_Table[[#This Row],[Exit_Date]]="",DATEDIF(HR_Table[[#This Row],[Joining_Date]],TODAY(),"Y"),DATEDIF(HR_Table[[#This Row],[Joining_Date]],HR_Table[[#This Row],[Exit_Date]],"Y"))</f>
        <v>2</v>
      </c>
      <c r="N17" t="str">
        <f>IF(HR_Table[[#This Row],[Age]]&lt;30,"Under 30",IF(HR_Table[[#This Row],[Age]]&lt;=40,"30-40","Above 40"))</f>
        <v>30-40</v>
      </c>
      <c r="O17">
        <f>YEAR(HR_Table[[#This Row],[Joining_Date]])</f>
        <v>2023</v>
      </c>
    </row>
    <row r="18" spans="1:15" x14ac:dyDescent="0.3">
      <c r="A18" t="s">
        <v>28</v>
      </c>
      <c r="B18" t="s">
        <v>313</v>
      </c>
      <c r="C18">
        <v>50</v>
      </c>
      <c r="D18" t="s">
        <v>317</v>
      </c>
      <c r="E18" t="s">
        <v>320</v>
      </c>
      <c r="F18" t="s">
        <v>324</v>
      </c>
      <c r="G18">
        <v>32930</v>
      </c>
      <c r="H18" s="1">
        <v>44004</v>
      </c>
      <c r="J18">
        <v>2</v>
      </c>
      <c r="K18" t="s">
        <v>327</v>
      </c>
      <c r="L18" t="s">
        <v>329</v>
      </c>
      <c r="M18">
        <f ca="1">IF(HR_Table[[#This Row],[Exit_Date]]="",DATEDIF(HR_Table[[#This Row],[Joining_Date]],TODAY(),"Y"),DATEDIF(HR_Table[[#This Row],[Joining_Date]],HR_Table[[#This Row],[Exit_Date]],"Y"))</f>
        <v>5</v>
      </c>
      <c r="N18" t="str">
        <f>IF(HR_Table[[#This Row],[Age]]&lt;30,"Under 30",IF(HR_Table[[#This Row],[Age]]&lt;=40,"30-40","Above 40"))</f>
        <v>Above 40</v>
      </c>
      <c r="O18">
        <f>YEAR(HR_Table[[#This Row],[Joining_Date]])</f>
        <v>2020</v>
      </c>
    </row>
    <row r="19" spans="1:15" x14ac:dyDescent="0.3">
      <c r="A19" t="s">
        <v>29</v>
      </c>
      <c r="B19" t="s">
        <v>312</v>
      </c>
      <c r="C19">
        <v>36</v>
      </c>
      <c r="D19" t="s">
        <v>314</v>
      </c>
      <c r="E19" t="s">
        <v>319</v>
      </c>
      <c r="F19" t="s">
        <v>323</v>
      </c>
      <c r="G19">
        <v>71389</v>
      </c>
      <c r="H19" s="1">
        <v>43754</v>
      </c>
      <c r="I19" s="1">
        <v>45188</v>
      </c>
      <c r="J19">
        <v>1</v>
      </c>
      <c r="K19" t="s">
        <v>327</v>
      </c>
      <c r="L19" t="s">
        <v>330</v>
      </c>
      <c r="M19">
        <f ca="1">IF(HR_Table[[#This Row],[Exit_Date]]="",DATEDIF(HR_Table[[#This Row],[Joining_Date]],TODAY(),"Y"),DATEDIF(HR_Table[[#This Row],[Joining_Date]],HR_Table[[#This Row],[Exit_Date]],"Y"))</f>
        <v>3</v>
      </c>
      <c r="N19" t="str">
        <f>IF(HR_Table[[#This Row],[Age]]&lt;30,"Under 30",IF(HR_Table[[#This Row],[Age]]&lt;=40,"30-40","Above 40"))</f>
        <v>30-40</v>
      </c>
      <c r="O19">
        <f>YEAR(HR_Table[[#This Row],[Joining_Date]])</f>
        <v>2019</v>
      </c>
    </row>
    <row r="20" spans="1:15" x14ac:dyDescent="0.3">
      <c r="A20" t="s">
        <v>30</v>
      </c>
      <c r="B20" t="s">
        <v>312</v>
      </c>
      <c r="C20">
        <v>54</v>
      </c>
      <c r="D20" t="s">
        <v>314</v>
      </c>
      <c r="E20" t="s">
        <v>319</v>
      </c>
      <c r="F20" t="s">
        <v>324</v>
      </c>
      <c r="G20">
        <v>68842</v>
      </c>
      <c r="H20" s="1">
        <v>42498</v>
      </c>
      <c r="J20">
        <v>4</v>
      </c>
      <c r="K20" t="s">
        <v>327</v>
      </c>
      <c r="L20" t="s">
        <v>329</v>
      </c>
      <c r="M20">
        <f ca="1">IF(HR_Table[[#This Row],[Exit_Date]]="",DATEDIF(HR_Table[[#This Row],[Joining_Date]],TODAY(),"Y"),DATEDIF(HR_Table[[#This Row],[Joining_Date]],HR_Table[[#This Row],[Exit_Date]],"Y"))</f>
        <v>9</v>
      </c>
      <c r="N20" t="str">
        <f>IF(HR_Table[[#This Row],[Age]]&lt;30,"Under 30",IF(HR_Table[[#This Row],[Age]]&lt;=40,"30-40","Above 40"))</f>
        <v>Above 40</v>
      </c>
      <c r="O20">
        <f>YEAR(HR_Table[[#This Row],[Joining_Date]])</f>
        <v>2016</v>
      </c>
    </row>
    <row r="21" spans="1:15" x14ac:dyDescent="0.3">
      <c r="A21" t="s">
        <v>31</v>
      </c>
      <c r="B21" t="s">
        <v>313</v>
      </c>
      <c r="C21">
        <v>37</v>
      </c>
      <c r="D21" t="s">
        <v>315</v>
      </c>
      <c r="E21" t="s">
        <v>320</v>
      </c>
      <c r="F21" t="s">
        <v>324</v>
      </c>
      <c r="G21">
        <v>37478</v>
      </c>
      <c r="H21" s="1">
        <v>42911</v>
      </c>
      <c r="J21">
        <v>1</v>
      </c>
      <c r="K21" t="s">
        <v>325</v>
      </c>
      <c r="L21" t="s">
        <v>329</v>
      </c>
      <c r="M21">
        <f ca="1">IF(HR_Table[[#This Row],[Exit_Date]]="",DATEDIF(HR_Table[[#This Row],[Joining_Date]],TODAY(),"Y"),DATEDIF(HR_Table[[#This Row],[Joining_Date]],HR_Table[[#This Row],[Exit_Date]],"Y"))</f>
        <v>8</v>
      </c>
      <c r="N21" t="str">
        <f>IF(HR_Table[[#This Row],[Age]]&lt;30,"Under 30",IF(HR_Table[[#This Row],[Age]]&lt;=40,"30-40","Above 40"))</f>
        <v>30-40</v>
      </c>
      <c r="O21">
        <f>YEAR(HR_Table[[#This Row],[Joining_Date]])</f>
        <v>2017</v>
      </c>
    </row>
    <row r="22" spans="1:15" x14ac:dyDescent="0.3">
      <c r="A22" t="s">
        <v>32</v>
      </c>
      <c r="B22" t="s">
        <v>313</v>
      </c>
      <c r="C22">
        <v>25</v>
      </c>
      <c r="D22" t="s">
        <v>318</v>
      </c>
      <c r="E22" t="s">
        <v>321</v>
      </c>
      <c r="F22" t="s">
        <v>323</v>
      </c>
      <c r="G22">
        <v>51386</v>
      </c>
      <c r="H22" s="1">
        <v>43821</v>
      </c>
      <c r="J22">
        <v>3</v>
      </c>
      <c r="K22" t="s">
        <v>325</v>
      </c>
      <c r="L22" t="s">
        <v>329</v>
      </c>
      <c r="M22">
        <f ca="1">IF(HR_Table[[#This Row],[Exit_Date]]="",DATEDIF(HR_Table[[#This Row],[Joining_Date]],TODAY(),"Y"),DATEDIF(HR_Table[[#This Row],[Joining_Date]],HR_Table[[#This Row],[Exit_Date]],"Y"))</f>
        <v>6</v>
      </c>
      <c r="N22" t="str">
        <f>IF(HR_Table[[#This Row],[Age]]&lt;30,"Under 30",IF(HR_Table[[#This Row],[Age]]&lt;=40,"30-40","Above 40"))</f>
        <v>Under 30</v>
      </c>
      <c r="O22">
        <f>YEAR(HR_Table[[#This Row],[Joining_Date]])</f>
        <v>2019</v>
      </c>
    </row>
    <row r="23" spans="1:15" x14ac:dyDescent="0.3">
      <c r="A23" t="s">
        <v>33</v>
      </c>
      <c r="B23" t="s">
        <v>312</v>
      </c>
      <c r="C23">
        <v>49</v>
      </c>
      <c r="D23" t="s">
        <v>316</v>
      </c>
      <c r="E23" t="s">
        <v>319</v>
      </c>
      <c r="F23" t="s">
        <v>324</v>
      </c>
      <c r="G23">
        <v>55318</v>
      </c>
      <c r="H23" s="1">
        <v>43154</v>
      </c>
      <c r="I23" s="1">
        <v>44372</v>
      </c>
      <c r="J23">
        <v>2</v>
      </c>
      <c r="K23" t="s">
        <v>325</v>
      </c>
      <c r="L23" t="s">
        <v>330</v>
      </c>
      <c r="M23">
        <f ca="1">IF(HR_Table[[#This Row],[Exit_Date]]="",DATEDIF(HR_Table[[#This Row],[Joining_Date]],TODAY(),"Y"),DATEDIF(HR_Table[[#This Row],[Joining_Date]],HR_Table[[#This Row],[Exit_Date]],"Y"))</f>
        <v>3</v>
      </c>
      <c r="N23" t="str">
        <f>IF(HR_Table[[#This Row],[Age]]&lt;30,"Under 30",IF(HR_Table[[#This Row],[Age]]&lt;=40,"30-40","Above 40"))</f>
        <v>Above 40</v>
      </c>
      <c r="O23">
        <f>YEAR(HR_Table[[#This Row],[Joining_Date]])</f>
        <v>2018</v>
      </c>
    </row>
    <row r="24" spans="1:15" x14ac:dyDescent="0.3">
      <c r="A24" t="s">
        <v>34</v>
      </c>
      <c r="B24" t="s">
        <v>312</v>
      </c>
      <c r="C24">
        <v>27</v>
      </c>
      <c r="D24" t="s">
        <v>318</v>
      </c>
      <c r="E24" t="s">
        <v>321</v>
      </c>
      <c r="F24" t="s">
        <v>323</v>
      </c>
      <c r="G24">
        <v>51634</v>
      </c>
      <c r="H24" s="1">
        <v>44624</v>
      </c>
      <c r="J24">
        <v>4</v>
      </c>
      <c r="K24" t="s">
        <v>326</v>
      </c>
      <c r="L24" t="s">
        <v>329</v>
      </c>
      <c r="M24">
        <f ca="1">IF(HR_Table[[#This Row],[Exit_Date]]="",DATEDIF(HR_Table[[#This Row],[Joining_Date]],TODAY(),"Y"),DATEDIF(HR_Table[[#This Row],[Joining_Date]],HR_Table[[#This Row],[Exit_Date]],"Y"))</f>
        <v>4</v>
      </c>
      <c r="N24" t="str">
        <f>IF(HR_Table[[#This Row],[Age]]&lt;30,"Under 30",IF(HR_Table[[#This Row],[Age]]&lt;=40,"30-40","Above 40"))</f>
        <v>Under 30</v>
      </c>
      <c r="O24">
        <f>YEAR(HR_Table[[#This Row],[Joining_Date]])</f>
        <v>2022</v>
      </c>
    </row>
    <row r="25" spans="1:15" x14ac:dyDescent="0.3">
      <c r="A25" t="s">
        <v>35</v>
      </c>
      <c r="B25" t="s">
        <v>312</v>
      </c>
      <c r="C25">
        <v>46</v>
      </c>
      <c r="D25" t="s">
        <v>316</v>
      </c>
      <c r="E25" t="s">
        <v>319</v>
      </c>
      <c r="F25" t="s">
        <v>324</v>
      </c>
      <c r="G25">
        <v>42380</v>
      </c>
      <c r="H25" s="1">
        <v>44012</v>
      </c>
      <c r="J25">
        <v>4</v>
      </c>
      <c r="K25" t="s">
        <v>328</v>
      </c>
      <c r="L25" t="s">
        <v>329</v>
      </c>
      <c r="M25">
        <f ca="1">IF(HR_Table[[#This Row],[Exit_Date]]="",DATEDIF(HR_Table[[#This Row],[Joining_Date]],TODAY(),"Y"),DATEDIF(HR_Table[[#This Row],[Joining_Date]],HR_Table[[#This Row],[Exit_Date]],"Y"))</f>
        <v>5</v>
      </c>
      <c r="N25" t="str">
        <f>IF(HR_Table[[#This Row],[Age]]&lt;30,"Under 30",IF(HR_Table[[#This Row],[Age]]&lt;=40,"30-40","Above 40"))</f>
        <v>Above 40</v>
      </c>
      <c r="O25">
        <f>YEAR(HR_Table[[#This Row],[Joining_Date]])</f>
        <v>2020</v>
      </c>
    </row>
    <row r="26" spans="1:15" x14ac:dyDescent="0.3">
      <c r="A26" t="s">
        <v>36</v>
      </c>
      <c r="B26" t="s">
        <v>313</v>
      </c>
      <c r="C26">
        <v>31</v>
      </c>
      <c r="D26" t="s">
        <v>318</v>
      </c>
      <c r="E26" t="s">
        <v>321</v>
      </c>
      <c r="F26" t="s">
        <v>324</v>
      </c>
      <c r="G26">
        <v>39267</v>
      </c>
      <c r="H26" s="1">
        <v>45223</v>
      </c>
      <c r="J26">
        <v>1</v>
      </c>
      <c r="K26" t="s">
        <v>325</v>
      </c>
      <c r="L26" t="s">
        <v>329</v>
      </c>
      <c r="M26">
        <f ca="1">IF(HR_Table[[#This Row],[Exit_Date]]="",DATEDIF(HR_Table[[#This Row],[Joining_Date]],TODAY(),"Y"),DATEDIF(HR_Table[[#This Row],[Joining_Date]],HR_Table[[#This Row],[Exit_Date]],"Y"))</f>
        <v>2</v>
      </c>
      <c r="N26" t="str">
        <f>IF(HR_Table[[#This Row],[Age]]&lt;30,"Under 30",IF(HR_Table[[#This Row],[Age]]&lt;=40,"30-40","Above 40"))</f>
        <v>30-40</v>
      </c>
      <c r="O26">
        <f>YEAR(HR_Table[[#This Row],[Joining_Date]])</f>
        <v>2023</v>
      </c>
    </row>
    <row r="27" spans="1:15" x14ac:dyDescent="0.3">
      <c r="A27" t="s">
        <v>37</v>
      </c>
      <c r="B27" t="s">
        <v>312</v>
      </c>
      <c r="C27">
        <v>25</v>
      </c>
      <c r="D27" t="s">
        <v>317</v>
      </c>
      <c r="E27" t="s">
        <v>320</v>
      </c>
      <c r="F27" t="s">
        <v>323</v>
      </c>
      <c r="G27">
        <v>80793</v>
      </c>
      <c r="H27" s="1">
        <v>42604</v>
      </c>
      <c r="I27" s="1">
        <v>43880</v>
      </c>
      <c r="J27">
        <v>2</v>
      </c>
      <c r="K27" t="s">
        <v>325</v>
      </c>
      <c r="L27" t="s">
        <v>330</v>
      </c>
      <c r="M27">
        <f ca="1">IF(HR_Table[[#This Row],[Exit_Date]]="",DATEDIF(HR_Table[[#This Row],[Joining_Date]],TODAY(),"Y"),DATEDIF(HR_Table[[#This Row],[Joining_Date]],HR_Table[[#This Row],[Exit_Date]],"Y"))</f>
        <v>3</v>
      </c>
      <c r="N27" t="str">
        <f>IF(HR_Table[[#This Row],[Age]]&lt;30,"Under 30",IF(HR_Table[[#This Row],[Age]]&lt;=40,"30-40","Above 40"))</f>
        <v>Under 30</v>
      </c>
      <c r="O27">
        <f>YEAR(HR_Table[[#This Row],[Joining_Date]])</f>
        <v>2016</v>
      </c>
    </row>
    <row r="28" spans="1:15" x14ac:dyDescent="0.3">
      <c r="A28" t="s">
        <v>38</v>
      </c>
      <c r="B28" t="s">
        <v>312</v>
      </c>
      <c r="C28">
        <v>47</v>
      </c>
      <c r="D28" t="s">
        <v>315</v>
      </c>
      <c r="E28" t="s">
        <v>319</v>
      </c>
      <c r="F28" t="s">
        <v>323</v>
      </c>
      <c r="G28">
        <v>62940</v>
      </c>
      <c r="H28" s="1">
        <v>42648</v>
      </c>
      <c r="J28">
        <v>5</v>
      </c>
      <c r="K28" t="s">
        <v>325</v>
      </c>
      <c r="L28" t="s">
        <v>329</v>
      </c>
      <c r="M28">
        <f ca="1">IF(HR_Table[[#This Row],[Exit_Date]]="",DATEDIF(HR_Table[[#This Row],[Joining_Date]],TODAY(),"Y"),DATEDIF(HR_Table[[#This Row],[Joining_Date]],HR_Table[[#This Row],[Exit_Date]],"Y"))</f>
        <v>9</v>
      </c>
      <c r="N28" t="str">
        <f>IF(HR_Table[[#This Row],[Age]]&lt;30,"Under 30",IF(HR_Table[[#This Row],[Age]]&lt;=40,"30-40","Above 40"))</f>
        <v>Above 40</v>
      </c>
      <c r="O28">
        <f>YEAR(HR_Table[[#This Row],[Joining_Date]])</f>
        <v>2016</v>
      </c>
    </row>
    <row r="29" spans="1:15" x14ac:dyDescent="0.3">
      <c r="A29" t="s">
        <v>39</v>
      </c>
      <c r="B29" t="s">
        <v>313</v>
      </c>
      <c r="C29">
        <v>38</v>
      </c>
      <c r="D29" t="s">
        <v>315</v>
      </c>
      <c r="E29" t="s">
        <v>319</v>
      </c>
      <c r="F29" t="s">
        <v>324</v>
      </c>
      <c r="G29">
        <v>40642</v>
      </c>
      <c r="H29" s="1">
        <v>42705</v>
      </c>
      <c r="J29">
        <v>3</v>
      </c>
      <c r="K29" t="s">
        <v>326</v>
      </c>
      <c r="L29" t="s">
        <v>329</v>
      </c>
      <c r="M29">
        <f ca="1">IF(HR_Table[[#This Row],[Exit_Date]]="",DATEDIF(HR_Table[[#This Row],[Joining_Date]],TODAY(),"Y"),DATEDIF(HR_Table[[#This Row],[Joining_Date]],HR_Table[[#This Row],[Exit_Date]],"Y"))</f>
        <v>9</v>
      </c>
      <c r="N29" t="str">
        <f>IF(HR_Table[[#This Row],[Age]]&lt;30,"Under 30",IF(HR_Table[[#This Row],[Age]]&lt;=40,"30-40","Above 40"))</f>
        <v>30-40</v>
      </c>
      <c r="O29">
        <f>YEAR(HR_Table[[#This Row],[Joining_Date]])</f>
        <v>2016</v>
      </c>
    </row>
    <row r="30" spans="1:15" x14ac:dyDescent="0.3">
      <c r="A30" t="s">
        <v>40</v>
      </c>
      <c r="B30" t="s">
        <v>313</v>
      </c>
      <c r="C30">
        <v>42</v>
      </c>
      <c r="D30" t="s">
        <v>316</v>
      </c>
      <c r="E30" t="s">
        <v>319</v>
      </c>
      <c r="F30" t="s">
        <v>323</v>
      </c>
      <c r="G30">
        <v>55034</v>
      </c>
      <c r="H30" s="1">
        <v>45121</v>
      </c>
      <c r="J30">
        <v>5</v>
      </c>
      <c r="K30" t="s">
        <v>325</v>
      </c>
      <c r="L30" t="s">
        <v>329</v>
      </c>
      <c r="M30">
        <f ca="1">IF(HR_Table[[#This Row],[Exit_Date]]="",DATEDIF(HR_Table[[#This Row],[Joining_Date]],TODAY(),"Y"),DATEDIF(HR_Table[[#This Row],[Joining_Date]],HR_Table[[#This Row],[Exit_Date]],"Y"))</f>
        <v>2</v>
      </c>
      <c r="N30" t="str">
        <f>IF(HR_Table[[#This Row],[Age]]&lt;30,"Under 30",IF(HR_Table[[#This Row],[Age]]&lt;=40,"30-40","Above 40"))</f>
        <v>Above 40</v>
      </c>
      <c r="O30">
        <f>YEAR(HR_Table[[#This Row],[Joining_Date]])</f>
        <v>2023</v>
      </c>
    </row>
    <row r="31" spans="1:15" x14ac:dyDescent="0.3">
      <c r="A31" t="s">
        <v>41</v>
      </c>
      <c r="B31" t="s">
        <v>312</v>
      </c>
      <c r="C31">
        <v>44</v>
      </c>
      <c r="D31" t="s">
        <v>314</v>
      </c>
      <c r="E31" t="s">
        <v>319</v>
      </c>
      <c r="F31" t="s">
        <v>323</v>
      </c>
      <c r="G31">
        <v>49217</v>
      </c>
      <c r="H31" s="1">
        <v>44572</v>
      </c>
      <c r="I31" s="1">
        <v>45415</v>
      </c>
      <c r="J31">
        <v>3</v>
      </c>
      <c r="K31" t="s">
        <v>327</v>
      </c>
      <c r="L31" t="s">
        <v>330</v>
      </c>
      <c r="M31">
        <f ca="1">IF(HR_Table[[#This Row],[Exit_Date]]="",DATEDIF(HR_Table[[#This Row],[Joining_Date]],TODAY(),"Y"),DATEDIF(HR_Table[[#This Row],[Joining_Date]],HR_Table[[#This Row],[Exit_Date]],"Y"))</f>
        <v>2</v>
      </c>
      <c r="N31" t="str">
        <f>IF(HR_Table[[#This Row],[Age]]&lt;30,"Under 30",IF(HR_Table[[#This Row],[Age]]&lt;=40,"30-40","Above 40"))</f>
        <v>Above 40</v>
      </c>
      <c r="O31">
        <f>YEAR(HR_Table[[#This Row],[Joining_Date]])</f>
        <v>2022</v>
      </c>
    </row>
    <row r="32" spans="1:15" x14ac:dyDescent="0.3">
      <c r="A32" t="s">
        <v>42</v>
      </c>
      <c r="B32" t="s">
        <v>312</v>
      </c>
      <c r="C32">
        <v>41</v>
      </c>
      <c r="D32" t="s">
        <v>318</v>
      </c>
      <c r="E32" t="s">
        <v>321</v>
      </c>
      <c r="F32" t="s">
        <v>323</v>
      </c>
      <c r="G32">
        <v>42332</v>
      </c>
      <c r="H32" s="1">
        <v>44595</v>
      </c>
      <c r="J32">
        <v>1</v>
      </c>
      <c r="K32" t="s">
        <v>325</v>
      </c>
      <c r="L32" t="s">
        <v>329</v>
      </c>
      <c r="M32">
        <f ca="1">IF(HR_Table[[#This Row],[Exit_Date]]="",DATEDIF(HR_Table[[#This Row],[Joining_Date]],TODAY(),"Y"),DATEDIF(HR_Table[[#This Row],[Joining_Date]],HR_Table[[#This Row],[Exit_Date]],"Y"))</f>
        <v>4</v>
      </c>
      <c r="N32" t="str">
        <f>IF(HR_Table[[#This Row],[Age]]&lt;30,"Under 30",IF(HR_Table[[#This Row],[Age]]&lt;=40,"30-40","Above 40"))</f>
        <v>Above 40</v>
      </c>
      <c r="O32">
        <f>YEAR(HR_Table[[#This Row],[Joining_Date]])</f>
        <v>2022</v>
      </c>
    </row>
    <row r="33" spans="1:15" x14ac:dyDescent="0.3">
      <c r="A33" t="s">
        <v>43</v>
      </c>
      <c r="B33" t="s">
        <v>312</v>
      </c>
      <c r="C33">
        <v>43</v>
      </c>
      <c r="D33" t="s">
        <v>315</v>
      </c>
      <c r="E33" t="s">
        <v>319</v>
      </c>
      <c r="F33" t="s">
        <v>324</v>
      </c>
      <c r="G33">
        <v>58122</v>
      </c>
      <c r="H33" s="1">
        <v>43006</v>
      </c>
      <c r="J33">
        <v>4</v>
      </c>
      <c r="K33" t="s">
        <v>328</v>
      </c>
      <c r="L33" t="s">
        <v>329</v>
      </c>
      <c r="M33">
        <f ca="1">IF(HR_Table[[#This Row],[Exit_Date]]="",DATEDIF(HR_Table[[#This Row],[Joining_Date]],TODAY(),"Y"),DATEDIF(HR_Table[[#This Row],[Joining_Date]],HR_Table[[#This Row],[Exit_Date]],"Y"))</f>
        <v>8</v>
      </c>
      <c r="N33" t="str">
        <f>IF(HR_Table[[#This Row],[Age]]&lt;30,"Under 30",IF(HR_Table[[#This Row],[Age]]&lt;=40,"30-40","Above 40"))</f>
        <v>Above 40</v>
      </c>
      <c r="O33">
        <f>YEAR(HR_Table[[#This Row],[Joining_Date]])</f>
        <v>2017</v>
      </c>
    </row>
    <row r="34" spans="1:15" x14ac:dyDescent="0.3">
      <c r="A34" t="s">
        <v>44</v>
      </c>
      <c r="B34" t="s">
        <v>313</v>
      </c>
      <c r="C34">
        <v>24</v>
      </c>
      <c r="D34" t="s">
        <v>314</v>
      </c>
      <c r="E34" t="s">
        <v>319</v>
      </c>
      <c r="F34" t="s">
        <v>324</v>
      </c>
      <c r="G34">
        <v>75536</v>
      </c>
      <c r="H34" s="1">
        <v>42748</v>
      </c>
      <c r="J34">
        <v>2</v>
      </c>
      <c r="K34" t="s">
        <v>328</v>
      </c>
      <c r="L34" t="s">
        <v>329</v>
      </c>
      <c r="M34">
        <f ca="1">IF(HR_Table[[#This Row],[Exit_Date]]="",DATEDIF(HR_Table[[#This Row],[Joining_Date]],TODAY(),"Y"),DATEDIF(HR_Table[[#This Row],[Joining_Date]],HR_Table[[#This Row],[Exit_Date]],"Y"))</f>
        <v>9</v>
      </c>
      <c r="N34" t="str">
        <f>IF(HR_Table[[#This Row],[Age]]&lt;30,"Under 30",IF(HR_Table[[#This Row],[Age]]&lt;=40,"30-40","Above 40"))</f>
        <v>Under 30</v>
      </c>
      <c r="O34">
        <f>YEAR(HR_Table[[#This Row],[Joining_Date]])</f>
        <v>2017</v>
      </c>
    </row>
    <row r="35" spans="1:15" x14ac:dyDescent="0.3">
      <c r="A35" t="s">
        <v>45</v>
      </c>
      <c r="B35" t="s">
        <v>313</v>
      </c>
      <c r="C35">
        <v>22</v>
      </c>
      <c r="D35" t="s">
        <v>316</v>
      </c>
      <c r="E35" t="s">
        <v>319</v>
      </c>
      <c r="F35" t="s">
        <v>323</v>
      </c>
      <c r="G35">
        <v>86934</v>
      </c>
      <c r="H35" s="1">
        <v>44179</v>
      </c>
      <c r="J35">
        <v>2</v>
      </c>
      <c r="K35" t="s">
        <v>325</v>
      </c>
      <c r="L35" t="s">
        <v>329</v>
      </c>
      <c r="M35">
        <f ca="1">IF(HR_Table[[#This Row],[Exit_Date]]="",DATEDIF(HR_Table[[#This Row],[Joining_Date]],TODAY(),"Y"),DATEDIF(HR_Table[[#This Row],[Joining_Date]],HR_Table[[#This Row],[Exit_Date]],"Y"))</f>
        <v>5</v>
      </c>
      <c r="N35" t="str">
        <f>IF(HR_Table[[#This Row],[Age]]&lt;30,"Under 30",IF(HR_Table[[#This Row],[Age]]&lt;=40,"30-40","Above 40"))</f>
        <v>Under 30</v>
      </c>
      <c r="O35">
        <f>YEAR(HR_Table[[#This Row],[Joining_Date]])</f>
        <v>2020</v>
      </c>
    </row>
    <row r="36" spans="1:15" x14ac:dyDescent="0.3">
      <c r="A36" t="s">
        <v>46</v>
      </c>
      <c r="B36" t="s">
        <v>313</v>
      </c>
      <c r="C36">
        <v>30</v>
      </c>
      <c r="D36" t="s">
        <v>317</v>
      </c>
      <c r="E36" t="s">
        <v>321</v>
      </c>
      <c r="F36" t="s">
        <v>324</v>
      </c>
      <c r="G36">
        <v>48897</v>
      </c>
      <c r="H36" s="1">
        <v>44755</v>
      </c>
      <c r="J36">
        <v>1</v>
      </c>
      <c r="K36" t="s">
        <v>328</v>
      </c>
      <c r="L36" t="s">
        <v>329</v>
      </c>
      <c r="M36">
        <f ca="1">IF(HR_Table[[#This Row],[Exit_Date]]="",DATEDIF(HR_Table[[#This Row],[Joining_Date]],TODAY(),"Y"),DATEDIF(HR_Table[[#This Row],[Joining_Date]],HR_Table[[#This Row],[Exit_Date]],"Y"))</f>
        <v>3</v>
      </c>
      <c r="N36" t="str">
        <f>IF(HR_Table[[#This Row],[Age]]&lt;30,"Under 30",IF(HR_Table[[#This Row],[Age]]&lt;=40,"30-40","Above 40"))</f>
        <v>30-40</v>
      </c>
      <c r="O36">
        <f>YEAR(HR_Table[[#This Row],[Joining_Date]])</f>
        <v>2022</v>
      </c>
    </row>
    <row r="37" spans="1:15" x14ac:dyDescent="0.3">
      <c r="A37" t="s">
        <v>47</v>
      </c>
      <c r="B37" t="s">
        <v>313</v>
      </c>
      <c r="C37">
        <v>48</v>
      </c>
      <c r="D37" t="s">
        <v>316</v>
      </c>
      <c r="E37" t="s">
        <v>319</v>
      </c>
      <c r="F37" t="s">
        <v>323</v>
      </c>
      <c r="G37">
        <v>81662</v>
      </c>
      <c r="H37" s="1">
        <v>45163</v>
      </c>
      <c r="J37">
        <v>2</v>
      </c>
      <c r="K37" t="s">
        <v>327</v>
      </c>
      <c r="L37" t="s">
        <v>329</v>
      </c>
      <c r="M37">
        <f ca="1">IF(HR_Table[[#This Row],[Exit_Date]]="",DATEDIF(HR_Table[[#This Row],[Joining_Date]],TODAY(),"Y"),DATEDIF(HR_Table[[#This Row],[Joining_Date]],HR_Table[[#This Row],[Exit_Date]],"Y"))</f>
        <v>2</v>
      </c>
      <c r="N37" t="str">
        <f>IF(HR_Table[[#This Row],[Age]]&lt;30,"Under 30",IF(HR_Table[[#This Row],[Age]]&lt;=40,"30-40","Above 40"))</f>
        <v>Above 40</v>
      </c>
      <c r="O37">
        <f>YEAR(HR_Table[[#This Row],[Joining_Date]])</f>
        <v>2023</v>
      </c>
    </row>
    <row r="38" spans="1:15" x14ac:dyDescent="0.3">
      <c r="A38" t="s">
        <v>48</v>
      </c>
      <c r="B38" t="s">
        <v>313</v>
      </c>
      <c r="C38">
        <v>37</v>
      </c>
      <c r="D38" t="s">
        <v>318</v>
      </c>
      <c r="E38" t="s">
        <v>320</v>
      </c>
      <c r="F38" t="s">
        <v>323</v>
      </c>
      <c r="G38">
        <v>76601</v>
      </c>
      <c r="H38" s="1">
        <v>42471</v>
      </c>
      <c r="I38" s="1">
        <v>43451</v>
      </c>
      <c r="J38">
        <v>1</v>
      </c>
      <c r="K38" t="s">
        <v>326</v>
      </c>
      <c r="L38" t="s">
        <v>330</v>
      </c>
      <c r="M38">
        <f ca="1">IF(HR_Table[[#This Row],[Exit_Date]]="",DATEDIF(HR_Table[[#This Row],[Joining_Date]],TODAY(),"Y"),DATEDIF(HR_Table[[#This Row],[Joining_Date]],HR_Table[[#This Row],[Exit_Date]],"Y"))</f>
        <v>2</v>
      </c>
      <c r="N38" t="str">
        <f>IF(HR_Table[[#This Row],[Age]]&lt;30,"Under 30",IF(HR_Table[[#This Row],[Age]]&lt;=40,"30-40","Above 40"))</f>
        <v>30-40</v>
      </c>
      <c r="O38">
        <f>YEAR(HR_Table[[#This Row],[Joining_Date]])</f>
        <v>2016</v>
      </c>
    </row>
    <row r="39" spans="1:15" x14ac:dyDescent="0.3">
      <c r="A39" t="s">
        <v>49</v>
      </c>
      <c r="B39" t="s">
        <v>313</v>
      </c>
      <c r="C39">
        <v>44</v>
      </c>
      <c r="D39" t="s">
        <v>314</v>
      </c>
      <c r="E39" t="s">
        <v>320</v>
      </c>
      <c r="F39" t="s">
        <v>323</v>
      </c>
      <c r="G39">
        <v>39609</v>
      </c>
      <c r="H39" s="1">
        <v>44297</v>
      </c>
      <c r="J39">
        <v>1</v>
      </c>
      <c r="K39" t="s">
        <v>327</v>
      </c>
      <c r="L39" t="s">
        <v>329</v>
      </c>
      <c r="M39">
        <f ca="1">IF(HR_Table[[#This Row],[Exit_Date]]="",DATEDIF(HR_Table[[#This Row],[Joining_Date]],TODAY(),"Y"),DATEDIF(HR_Table[[#This Row],[Joining_Date]],HR_Table[[#This Row],[Exit_Date]],"Y"))</f>
        <v>4</v>
      </c>
      <c r="N39" t="str">
        <f>IF(HR_Table[[#This Row],[Age]]&lt;30,"Under 30",IF(HR_Table[[#This Row],[Age]]&lt;=40,"30-40","Above 40"))</f>
        <v>Above 40</v>
      </c>
      <c r="O39">
        <f>YEAR(HR_Table[[#This Row],[Joining_Date]])</f>
        <v>2021</v>
      </c>
    </row>
    <row r="40" spans="1:15" x14ac:dyDescent="0.3">
      <c r="A40" t="s">
        <v>50</v>
      </c>
      <c r="B40" t="s">
        <v>312</v>
      </c>
      <c r="C40">
        <v>39</v>
      </c>
      <c r="D40" t="s">
        <v>318</v>
      </c>
      <c r="E40" t="s">
        <v>320</v>
      </c>
      <c r="F40" t="s">
        <v>324</v>
      </c>
      <c r="G40">
        <v>69532</v>
      </c>
      <c r="H40" s="1">
        <v>43714</v>
      </c>
      <c r="J40">
        <v>5</v>
      </c>
      <c r="K40" t="s">
        <v>328</v>
      </c>
      <c r="L40" t="s">
        <v>329</v>
      </c>
      <c r="M40">
        <f ca="1">IF(HR_Table[[#This Row],[Exit_Date]]="",DATEDIF(HR_Table[[#This Row],[Joining_Date]],TODAY(),"Y"),DATEDIF(HR_Table[[#This Row],[Joining_Date]],HR_Table[[#This Row],[Exit_Date]],"Y"))</f>
        <v>6</v>
      </c>
      <c r="N40" t="str">
        <f>IF(HR_Table[[#This Row],[Age]]&lt;30,"Under 30",IF(HR_Table[[#This Row],[Age]]&lt;=40,"30-40","Above 40"))</f>
        <v>30-40</v>
      </c>
      <c r="O40">
        <f>YEAR(HR_Table[[#This Row],[Joining_Date]])</f>
        <v>2019</v>
      </c>
    </row>
    <row r="41" spans="1:15" x14ac:dyDescent="0.3">
      <c r="A41" t="s">
        <v>51</v>
      </c>
      <c r="B41" t="s">
        <v>313</v>
      </c>
      <c r="C41">
        <v>33</v>
      </c>
      <c r="D41" t="s">
        <v>314</v>
      </c>
      <c r="E41" t="s">
        <v>320</v>
      </c>
      <c r="F41" t="s">
        <v>323</v>
      </c>
      <c r="G41">
        <v>32104</v>
      </c>
      <c r="H41" s="1">
        <v>42842</v>
      </c>
      <c r="J41">
        <v>5</v>
      </c>
      <c r="K41" t="s">
        <v>326</v>
      </c>
      <c r="L41" t="s">
        <v>329</v>
      </c>
      <c r="M41">
        <f ca="1">IF(HR_Table[[#This Row],[Exit_Date]]="",DATEDIF(HR_Table[[#This Row],[Joining_Date]],TODAY(),"Y"),DATEDIF(HR_Table[[#This Row],[Joining_Date]],HR_Table[[#This Row],[Exit_Date]],"Y"))</f>
        <v>8</v>
      </c>
      <c r="N41" t="str">
        <f>IF(HR_Table[[#This Row],[Age]]&lt;30,"Under 30",IF(HR_Table[[#This Row],[Age]]&lt;=40,"30-40","Above 40"))</f>
        <v>30-40</v>
      </c>
      <c r="O41">
        <f>YEAR(HR_Table[[#This Row],[Joining_Date]])</f>
        <v>2017</v>
      </c>
    </row>
    <row r="42" spans="1:15" x14ac:dyDescent="0.3">
      <c r="A42" t="s">
        <v>52</v>
      </c>
      <c r="B42" t="s">
        <v>313</v>
      </c>
      <c r="C42">
        <v>54</v>
      </c>
      <c r="D42" t="s">
        <v>317</v>
      </c>
      <c r="E42" t="s">
        <v>321</v>
      </c>
      <c r="F42" t="s">
        <v>324</v>
      </c>
      <c r="G42">
        <v>83949</v>
      </c>
      <c r="H42" s="1">
        <v>45354</v>
      </c>
      <c r="J42">
        <v>5</v>
      </c>
      <c r="K42" t="s">
        <v>327</v>
      </c>
      <c r="L42" t="s">
        <v>329</v>
      </c>
      <c r="M42">
        <f ca="1">IF(HR_Table[[#This Row],[Exit_Date]]="",DATEDIF(HR_Table[[#This Row],[Joining_Date]],TODAY(),"Y"),DATEDIF(HR_Table[[#This Row],[Joining_Date]],HR_Table[[#This Row],[Exit_Date]],"Y"))</f>
        <v>2</v>
      </c>
      <c r="N42" t="str">
        <f>IF(HR_Table[[#This Row],[Age]]&lt;30,"Under 30",IF(HR_Table[[#This Row],[Age]]&lt;=40,"30-40","Above 40"))</f>
        <v>Above 40</v>
      </c>
      <c r="O42">
        <f>YEAR(HR_Table[[#This Row],[Joining_Date]])</f>
        <v>2024</v>
      </c>
    </row>
    <row r="43" spans="1:15" x14ac:dyDescent="0.3">
      <c r="A43" t="s">
        <v>53</v>
      </c>
      <c r="B43" t="s">
        <v>312</v>
      </c>
      <c r="C43">
        <v>55</v>
      </c>
      <c r="D43" t="s">
        <v>317</v>
      </c>
      <c r="E43" t="s">
        <v>320</v>
      </c>
      <c r="F43" t="s">
        <v>323</v>
      </c>
      <c r="G43">
        <v>48869</v>
      </c>
      <c r="H43" s="1">
        <v>42551</v>
      </c>
      <c r="J43">
        <v>4</v>
      </c>
      <c r="K43" t="s">
        <v>325</v>
      </c>
      <c r="L43" t="s">
        <v>329</v>
      </c>
      <c r="M43">
        <f ca="1">IF(HR_Table[[#This Row],[Exit_Date]]="",DATEDIF(HR_Table[[#This Row],[Joining_Date]],TODAY(),"Y"),DATEDIF(HR_Table[[#This Row],[Joining_Date]],HR_Table[[#This Row],[Exit_Date]],"Y"))</f>
        <v>9</v>
      </c>
      <c r="N43" t="str">
        <f>IF(HR_Table[[#This Row],[Age]]&lt;30,"Under 30",IF(HR_Table[[#This Row],[Age]]&lt;=40,"30-40","Above 40"))</f>
        <v>Above 40</v>
      </c>
      <c r="O43">
        <f>YEAR(HR_Table[[#This Row],[Joining_Date]])</f>
        <v>2016</v>
      </c>
    </row>
    <row r="44" spans="1:15" x14ac:dyDescent="0.3">
      <c r="A44" t="s">
        <v>54</v>
      </c>
      <c r="B44" t="s">
        <v>312</v>
      </c>
      <c r="C44">
        <v>41</v>
      </c>
      <c r="D44" t="s">
        <v>317</v>
      </c>
      <c r="E44" t="s">
        <v>320</v>
      </c>
      <c r="F44" t="s">
        <v>324</v>
      </c>
      <c r="G44">
        <v>68705</v>
      </c>
      <c r="H44" s="1">
        <v>44922</v>
      </c>
      <c r="J44">
        <v>4</v>
      </c>
      <c r="K44" t="s">
        <v>328</v>
      </c>
      <c r="L44" t="s">
        <v>329</v>
      </c>
      <c r="M44">
        <f ca="1">IF(HR_Table[[#This Row],[Exit_Date]]="",DATEDIF(HR_Table[[#This Row],[Joining_Date]],TODAY(),"Y"),DATEDIF(HR_Table[[#This Row],[Joining_Date]],HR_Table[[#This Row],[Exit_Date]],"Y"))</f>
        <v>3</v>
      </c>
      <c r="N44" t="str">
        <f>IF(HR_Table[[#This Row],[Age]]&lt;30,"Under 30",IF(HR_Table[[#This Row],[Age]]&lt;=40,"30-40","Above 40"))</f>
        <v>Above 40</v>
      </c>
      <c r="O44">
        <f>YEAR(HR_Table[[#This Row],[Joining_Date]])</f>
        <v>2022</v>
      </c>
    </row>
    <row r="45" spans="1:15" x14ac:dyDescent="0.3">
      <c r="A45" t="s">
        <v>55</v>
      </c>
      <c r="B45" t="s">
        <v>312</v>
      </c>
      <c r="C45">
        <v>34</v>
      </c>
      <c r="D45" t="s">
        <v>318</v>
      </c>
      <c r="E45" t="s">
        <v>320</v>
      </c>
      <c r="F45" t="s">
        <v>324</v>
      </c>
      <c r="G45">
        <v>69388</v>
      </c>
      <c r="H45" s="1">
        <v>45225</v>
      </c>
      <c r="J45">
        <v>2</v>
      </c>
      <c r="K45" t="s">
        <v>328</v>
      </c>
      <c r="L45" t="s">
        <v>329</v>
      </c>
      <c r="M45">
        <f ca="1">IF(HR_Table[[#This Row],[Exit_Date]]="",DATEDIF(HR_Table[[#This Row],[Joining_Date]],TODAY(),"Y"),DATEDIF(HR_Table[[#This Row],[Joining_Date]],HR_Table[[#This Row],[Exit_Date]],"Y"))</f>
        <v>2</v>
      </c>
      <c r="N45" t="str">
        <f>IF(HR_Table[[#This Row],[Age]]&lt;30,"Under 30",IF(HR_Table[[#This Row],[Age]]&lt;=40,"30-40","Above 40"))</f>
        <v>30-40</v>
      </c>
      <c r="O45">
        <f>YEAR(HR_Table[[#This Row],[Joining_Date]])</f>
        <v>2023</v>
      </c>
    </row>
    <row r="46" spans="1:15" x14ac:dyDescent="0.3">
      <c r="A46" t="s">
        <v>56</v>
      </c>
      <c r="B46" t="s">
        <v>313</v>
      </c>
      <c r="C46">
        <v>40</v>
      </c>
      <c r="D46" t="s">
        <v>318</v>
      </c>
      <c r="E46" t="s">
        <v>321</v>
      </c>
      <c r="F46" t="s">
        <v>324</v>
      </c>
      <c r="G46">
        <v>76495</v>
      </c>
      <c r="H46" s="1">
        <v>44614</v>
      </c>
      <c r="J46">
        <v>5</v>
      </c>
      <c r="K46" t="s">
        <v>328</v>
      </c>
      <c r="L46" t="s">
        <v>329</v>
      </c>
      <c r="M46">
        <f ca="1">IF(HR_Table[[#This Row],[Exit_Date]]="",DATEDIF(HR_Table[[#This Row],[Joining_Date]],TODAY(),"Y"),DATEDIF(HR_Table[[#This Row],[Joining_Date]],HR_Table[[#This Row],[Exit_Date]],"Y"))</f>
        <v>4</v>
      </c>
      <c r="N46" t="str">
        <f>IF(HR_Table[[#This Row],[Age]]&lt;30,"Under 30",IF(HR_Table[[#This Row],[Age]]&lt;=40,"30-40","Above 40"))</f>
        <v>30-40</v>
      </c>
      <c r="O46">
        <f>YEAR(HR_Table[[#This Row],[Joining_Date]])</f>
        <v>2022</v>
      </c>
    </row>
    <row r="47" spans="1:15" x14ac:dyDescent="0.3">
      <c r="A47" t="s">
        <v>57</v>
      </c>
      <c r="B47" t="s">
        <v>312</v>
      </c>
      <c r="C47">
        <v>54</v>
      </c>
      <c r="D47" t="s">
        <v>318</v>
      </c>
      <c r="E47" t="s">
        <v>320</v>
      </c>
      <c r="F47" t="s">
        <v>323</v>
      </c>
      <c r="G47">
        <v>68178</v>
      </c>
      <c r="H47" s="1">
        <v>44179</v>
      </c>
      <c r="J47">
        <v>1</v>
      </c>
      <c r="K47" t="s">
        <v>328</v>
      </c>
      <c r="L47" t="s">
        <v>329</v>
      </c>
      <c r="M47">
        <f ca="1">IF(HR_Table[[#This Row],[Exit_Date]]="",DATEDIF(HR_Table[[#This Row],[Joining_Date]],TODAY(),"Y"),DATEDIF(HR_Table[[#This Row],[Joining_Date]],HR_Table[[#This Row],[Exit_Date]],"Y"))</f>
        <v>5</v>
      </c>
      <c r="N47" t="str">
        <f>IF(HR_Table[[#This Row],[Age]]&lt;30,"Under 30",IF(HR_Table[[#This Row],[Age]]&lt;=40,"30-40","Above 40"))</f>
        <v>Above 40</v>
      </c>
      <c r="O47">
        <f>YEAR(HR_Table[[#This Row],[Joining_Date]])</f>
        <v>2020</v>
      </c>
    </row>
    <row r="48" spans="1:15" x14ac:dyDescent="0.3">
      <c r="A48" t="s">
        <v>58</v>
      </c>
      <c r="B48" t="s">
        <v>313</v>
      </c>
      <c r="C48">
        <v>27</v>
      </c>
      <c r="D48" t="s">
        <v>315</v>
      </c>
      <c r="E48" t="s">
        <v>319</v>
      </c>
      <c r="F48" t="s">
        <v>324</v>
      </c>
      <c r="G48">
        <v>39722</v>
      </c>
      <c r="H48" s="1">
        <v>45089</v>
      </c>
      <c r="J48">
        <v>2</v>
      </c>
      <c r="K48" t="s">
        <v>327</v>
      </c>
      <c r="L48" t="s">
        <v>329</v>
      </c>
      <c r="M48">
        <f ca="1">IF(HR_Table[[#This Row],[Exit_Date]]="",DATEDIF(HR_Table[[#This Row],[Joining_Date]],TODAY(),"Y"),DATEDIF(HR_Table[[#This Row],[Joining_Date]],HR_Table[[#This Row],[Exit_Date]],"Y"))</f>
        <v>2</v>
      </c>
      <c r="N48" t="str">
        <f>IF(HR_Table[[#This Row],[Age]]&lt;30,"Under 30",IF(HR_Table[[#This Row],[Age]]&lt;=40,"30-40","Above 40"))</f>
        <v>Under 30</v>
      </c>
      <c r="O48">
        <f>YEAR(HR_Table[[#This Row],[Joining_Date]])</f>
        <v>2023</v>
      </c>
    </row>
    <row r="49" spans="1:15" x14ac:dyDescent="0.3">
      <c r="A49" t="s">
        <v>59</v>
      </c>
      <c r="B49" t="s">
        <v>312</v>
      </c>
      <c r="C49">
        <v>51</v>
      </c>
      <c r="D49" t="s">
        <v>314</v>
      </c>
      <c r="E49" t="s">
        <v>320</v>
      </c>
      <c r="F49" t="s">
        <v>323</v>
      </c>
      <c r="G49">
        <v>72077</v>
      </c>
      <c r="H49" s="1">
        <v>42559</v>
      </c>
      <c r="I49" s="1">
        <v>43832</v>
      </c>
      <c r="J49">
        <v>4</v>
      </c>
      <c r="K49" t="s">
        <v>326</v>
      </c>
      <c r="L49" t="s">
        <v>330</v>
      </c>
      <c r="M49">
        <f ca="1">IF(HR_Table[[#This Row],[Exit_Date]]="",DATEDIF(HR_Table[[#This Row],[Joining_Date]],TODAY(),"Y"),DATEDIF(HR_Table[[#This Row],[Joining_Date]],HR_Table[[#This Row],[Exit_Date]],"Y"))</f>
        <v>3</v>
      </c>
      <c r="N49" t="str">
        <f>IF(HR_Table[[#This Row],[Age]]&lt;30,"Under 30",IF(HR_Table[[#This Row],[Age]]&lt;=40,"30-40","Above 40"))</f>
        <v>Above 40</v>
      </c>
      <c r="O49">
        <f>YEAR(HR_Table[[#This Row],[Joining_Date]])</f>
        <v>2016</v>
      </c>
    </row>
    <row r="50" spans="1:15" x14ac:dyDescent="0.3">
      <c r="A50" t="s">
        <v>60</v>
      </c>
      <c r="B50" t="s">
        <v>312</v>
      </c>
      <c r="C50">
        <v>28</v>
      </c>
      <c r="D50" t="s">
        <v>318</v>
      </c>
      <c r="E50" t="s">
        <v>320</v>
      </c>
      <c r="F50" t="s">
        <v>323</v>
      </c>
      <c r="G50">
        <v>36526</v>
      </c>
      <c r="H50" s="1">
        <v>43369</v>
      </c>
      <c r="I50" s="1">
        <v>45077</v>
      </c>
      <c r="J50">
        <v>5</v>
      </c>
      <c r="K50" t="s">
        <v>326</v>
      </c>
      <c r="L50" t="s">
        <v>330</v>
      </c>
      <c r="M50">
        <f ca="1">IF(HR_Table[[#This Row],[Exit_Date]]="",DATEDIF(HR_Table[[#This Row],[Joining_Date]],TODAY(),"Y"),DATEDIF(HR_Table[[#This Row],[Joining_Date]],HR_Table[[#This Row],[Exit_Date]],"Y"))</f>
        <v>4</v>
      </c>
      <c r="N50" t="str">
        <f>IF(HR_Table[[#This Row],[Age]]&lt;30,"Under 30",IF(HR_Table[[#This Row],[Age]]&lt;=40,"30-40","Above 40"))</f>
        <v>Under 30</v>
      </c>
      <c r="O50">
        <f>YEAR(HR_Table[[#This Row],[Joining_Date]])</f>
        <v>2018</v>
      </c>
    </row>
    <row r="51" spans="1:15" x14ac:dyDescent="0.3">
      <c r="A51" t="s">
        <v>61</v>
      </c>
      <c r="B51" t="s">
        <v>313</v>
      </c>
      <c r="C51">
        <v>30</v>
      </c>
      <c r="D51" t="s">
        <v>314</v>
      </c>
      <c r="E51" t="s">
        <v>320</v>
      </c>
      <c r="F51" t="s">
        <v>324</v>
      </c>
      <c r="G51">
        <v>87261</v>
      </c>
      <c r="H51" s="1">
        <v>44653</v>
      </c>
      <c r="I51" s="1">
        <v>45201</v>
      </c>
      <c r="J51">
        <v>4</v>
      </c>
      <c r="K51" t="s">
        <v>326</v>
      </c>
      <c r="L51" t="s">
        <v>330</v>
      </c>
      <c r="M51">
        <f ca="1">IF(HR_Table[[#This Row],[Exit_Date]]="",DATEDIF(HR_Table[[#This Row],[Joining_Date]],TODAY(),"Y"),DATEDIF(HR_Table[[#This Row],[Joining_Date]],HR_Table[[#This Row],[Exit_Date]],"Y"))</f>
        <v>1</v>
      </c>
      <c r="N51" t="str">
        <f>IF(HR_Table[[#This Row],[Age]]&lt;30,"Under 30",IF(HR_Table[[#This Row],[Age]]&lt;=40,"30-40","Above 40"))</f>
        <v>30-40</v>
      </c>
      <c r="O51">
        <f>YEAR(HR_Table[[#This Row],[Joining_Date]])</f>
        <v>2022</v>
      </c>
    </row>
    <row r="52" spans="1:15" x14ac:dyDescent="0.3">
      <c r="A52" t="s">
        <v>62</v>
      </c>
      <c r="B52" t="s">
        <v>313</v>
      </c>
      <c r="C52">
        <v>50</v>
      </c>
      <c r="D52" t="s">
        <v>315</v>
      </c>
      <c r="E52" t="s">
        <v>320</v>
      </c>
      <c r="F52" t="s">
        <v>323</v>
      </c>
      <c r="G52">
        <v>80041</v>
      </c>
      <c r="H52" s="1">
        <v>44196</v>
      </c>
      <c r="J52">
        <v>3</v>
      </c>
      <c r="K52" t="s">
        <v>326</v>
      </c>
      <c r="L52" t="s">
        <v>329</v>
      </c>
      <c r="M52">
        <f ca="1">IF(HR_Table[[#This Row],[Exit_Date]]="",DATEDIF(HR_Table[[#This Row],[Joining_Date]],TODAY(),"Y"),DATEDIF(HR_Table[[#This Row],[Joining_Date]],HR_Table[[#This Row],[Exit_Date]],"Y"))</f>
        <v>5</v>
      </c>
      <c r="N52" t="str">
        <f>IF(HR_Table[[#This Row],[Age]]&lt;30,"Under 30",IF(HR_Table[[#This Row],[Age]]&lt;=40,"30-40","Above 40"))</f>
        <v>Above 40</v>
      </c>
      <c r="O52">
        <f>YEAR(HR_Table[[#This Row],[Joining_Date]])</f>
        <v>2020</v>
      </c>
    </row>
    <row r="53" spans="1:15" x14ac:dyDescent="0.3">
      <c r="A53" t="s">
        <v>63</v>
      </c>
      <c r="B53" t="s">
        <v>313</v>
      </c>
      <c r="C53">
        <v>37</v>
      </c>
      <c r="D53" t="s">
        <v>316</v>
      </c>
      <c r="E53" t="s">
        <v>320</v>
      </c>
      <c r="F53" t="s">
        <v>324</v>
      </c>
      <c r="G53">
        <v>45952</v>
      </c>
      <c r="H53" s="1">
        <v>43494</v>
      </c>
      <c r="J53">
        <v>5</v>
      </c>
      <c r="K53" t="s">
        <v>325</v>
      </c>
      <c r="L53" t="s">
        <v>329</v>
      </c>
      <c r="M53">
        <f ca="1">IF(HR_Table[[#This Row],[Exit_Date]]="",DATEDIF(HR_Table[[#This Row],[Joining_Date]],TODAY(),"Y"),DATEDIF(HR_Table[[#This Row],[Joining_Date]],HR_Table[[#This Row],[Exit_Date]],"Y"))</f>
        <v>7</v>
      </c>
      <c r="N53" t="str">
        <f>IF(HR_Table[[#This Row],[Age]]&lt;30,"Under 30",IF(HR_Table[[#This Row],[Age]]&lt;=40,"30-40","Above 40"))</f>
        <v>30-40</v>
      </c>
      <c r="O53">
        <f>YEAR(HR_Table[[#This Row],[Joining_Date]])</f>
        <v>2019</v>
      </c>
    </row>
    <row r="54" spans="1:15" x14ac:dyDescent="0.3">
      <c r="A54" t="s">
        <v>64</v>
      </c>
      <c r="B54" t="s">
        <v>312</v>
      </c>
      <c r="C54">
        <v>35</v>
      </c>
      <c r="D54" t="s">
        <v>316</v>
      </c>
      <c r="E54" t="s">
        <v>319</v>
      </c>
      <c r="F54" t="s">
        <v>324</v>
      </c>
      <c r="G54">
        <v>51712</v>
      </c>
      <c r="H54" s="1">
        <v>42987</v>
      </c>
      <c r="I54" s="1">
        <v>44708</v>
      </c>
      <c r="J54">
        <v>3</v>
      </c>
      <c r="K54" t="s">
        <v>326</v>
      </c>
      <c r="L54" t="s">
        <v>330</v>
      </c>
      <c r="M54">
        <f ca="1">IF(HR_Table[[#This Row],[Exit_Date]]="",DATEDIF(HR_Table[[#This Row],[Joining_Date]],TODAY(),"Y"),DATEDIF(HR_Table[[#This Row],[Joining_Date]],HR_Table[[#This Row],[Exit_Date]],"Y"))</f>
        <v>4</v>
      </c>
      <c r="N54" t="str">
        <f>IF(HR_Table[[#This Row],[Age]]&lt;30,"Under 30",IF(HR_Table[[#This Row],[Age]]&lt;=40,"30-40","Above 40"))</f>
        <v>30-40</v>
      </c>
      <c r="O54">
        <f>YEAR(HR_Table[[#This Row],[Joining_Date]])</f>
        <v>2017</v>
      </c>
    </row>
    <row r="55" spans="1:15" x14ac:dyDescent="0.3">
      <c r="A55" t="s">
        <v>65</v>
      </c>
      <c r="B55" t="s">
        <v>313</v>
      </c>
      <c r="C55">
        <v>23</v>
      </c>
      <c r="D55" t="s">
        <v>318</v>
      </c>
      <c r="E55" t="s">
        <v>320</v>
      </c>
      <c r="F55" t="s">
        <v>324</v>
      </c>
      <c r="G55">
        <v>25386</v>
      </c>
      <c r="H55" s="1">
        <v>42625</v>
      </c>
      <c r="I55" s="1">
        <v>43785</v>
      </c>
      <c r="J55">
        <v>3</v>
      </c>
      <c r="K55" t="s">
        <v>328</v>
      </c>
      <c r="L55" t="s">
        <v>330</v>
      </c>
      <c r="M55">
        <f ca="1">IF(HR_Table[[#This Row],[Exit_Date]]="",DATEDIF(HR_Table[[#This Row],[Joining_Date]],TODAY(),"Y"),DATEDIF(HR_Table[[#This Row],[Joining_Date]],HR_Table[[#This Row],[Exit_Date]],"Y"))</f>
        <v>3</v>
      </c>
      <c r="N55" t="str">
        <f>IF(HR_Table[[#This Row],[Age]]&lt;30,"Under 30",IF(HR_Table[[#This Row],[Age]]&lt;=40,"30-40","Above 40"))</f>
        <v>Under 30</v>
      </c>
      <c r="O55">
        <f>YEAR(HR_Table[[#This Row],[Joining_Date]])</f>
        <v>2016</v>
      </c>
    </row>
    <row r="56" spans="1:15" x14ac:dyDescent="0.3">
      <c r="A56" t="s">
        <v>66</v>
      </c>
      <c r="B56" t="s">
        <v>312</v>
      </c>
      <c r="C56">
        <v>53</v>
      </c>
      <c r="D56" t="s">
        <v>318</v>
      </c>
      <c r="E56" t="s">
        <v>321</v>
      </c>
      <c r="F56" t="s">
        <v>324</v>
      </c>
      <c r="G56">
        <v>53562</v>
      </c>
      <c r="H56" s="1">
        <v>44086</v>
      </c>
      <c r="J56">
        <v>4</v>
      </c>
      <c r="K56" t="s">
        <v>325</v>
      </c>
      <c r="L56" t="s">
        <v>329</v>
      </c>
      <c r="M56">
        <f ca="1">IF(HR_Table[[#This Row],[Exit_Date]]="",DATEDIF(HR_Table[[#This Row],[Joining_Date]],TODAY(),"Y"),DATEDIF(HR_Table[[#This Row],[Joining_Date]],HR_Table[[#This Row],[Exit_Date]],"Y"))</f>
        <v>5</v>
      </c>
      <c r="N56" t="str">
        <f>IF(HR_Table[[#This Row],[Age]]&lt;30,"Under 30",IF(HR_Table[[#This Row],[Age]]&lt;=40,"30-40","Above 40"))</f>
        <v>Above 40</v>
      </c>
      <c r="O56">
        <f>YEAR(HR_Table[[#This Row],[Joining_Date]])</f>
        <v>2020</v>
      </c>
    </row>
    <row r="57" spans="1:15" x14ac:dyDescent="0.3">
      <c r="A57" t="s">
        <v>67</v>
      </c>
      <c r="B57" t="s">
        <v>313</v>
      </c>
      <c r="C57">
        <v>32</v>
      </c>
      <c r="D57" t="s">
        <v>318</v>
      </c>
      <c r="E57" t="s">
        <v>320</v>
      </c>
      <c r="F57" t="s">
        <v>323</v>
      </c>
      <c r="G57">
        <v>89272</v>
      </c>
      <c r="H57" s="1">
        <v>43746</v>
      </c>
      <c r="J57">
        <v>5</v>
      </c>
      <c r="K57" t="s">
        <v>325</v>
      </c>
      <c r="L57" t="s">
        <v>329</v>
      </c>
      <c r="M57">
        <f ca="1">IF(HR_Table[[#This Row],[Exit_Date]]="",DATEDIF(HR_Table[[#This Row],[Joining_Date]],TODAY(),"Y"),DATEDIF(HR_Table[[#This Row],[Joining_Date]],HR_Table[[#This Row],[Exit_Date]],"Y"))</f>
        <v>6</v>
      </c>
      <c r="N57" t="str">
        <f>IF(HR_Table[[#This Row],[Age]]&lt;30,"Under 30",IF(HR_Table[[#This Row],[Age]]&lt;=40,"30-40","Above 40"))</f>
        <v>30-40</v>
      </c>
      <c r="O57">
        <f>YEAR(HR_Table[[#This Row],[Joining_Date]])</f>
        <v>2019</v>
      </c>
    </row>
    <row r="58" spans="1:15" x14ac:dyDescent="0.3">
      <c r="A58" t="s">
        <v>68</v>
      </c>
      <c r="B58" t="s">
        <v>312</v>
      </c>
      <c r="C58">
        <v>27</v>
      </c>
      <c r="D58" t="s">
        <v>318</v>
      </c>
      <c r="E58" t="s">
        <v>320</v>
      </c>
      <c r="F58" t="s">
        <v>323</v>
      </c>
      <c r="G58">
        <v>81809</v>
      </c>
      <c r="H58" s="1">
        <v>44794</v>
      </c>
      <c r="J58">
        <v>4</v>
      </c>
      <c r="K58" t="s">
        <v>327</v>
      </c>
      <c r="L58" t="s">
        <v>329</v>
      </c>
      <c r="M58">
        <f ca="1">IF(HR_Table[[#This Row],[Exit_Date]]="",DATEDIF(HR_Table[[#This Row],[Joining_Date]],TODAY(),"Y"),DATEDIF(HR_Table[[#This Row],[Joining_Date]],HR_Table[[#This Row],[Exit_Date]],"Y"))</f>
        <v>3</v>
      </c>
      <c r="N58" t="str">
        <f>IF(HR_Table[[#This Row],[Age]]&lt;30,"Under 30",IF(HR_Table[[#This Row],[Age]]&lt;=40,"30-40","Above 40"))</f>
        <v>Under 30</v>
      </c>
      <c r="O58">
        <f>YEAR(HR_Table[[#This Row],[Joining_Date]])</f>
        <v>2022</v>
      </c>
    </row>
    <row r="59" spans="1:15" x14ac:dyDescent="0.3">
      <c r="A59" t="s">
        <v>69</v>
      </c>
      <c r="B59" t="s">
        <v>312</v>
      </c>
      <c r="C59">
        <v>51</v>
      </c>
      <c r="D59" t="s">
        <v>314</v>
      </c>
      <c r="E59" t="s">
        <v>320</v>
      </c>
      <c r="F59" t="s">
        <v>324</v>
      </c>
      <c r="G59">
        <v>74887</v>
      </c>
      <c r="H59" s="1">
        <v>43435</v>
      </c>
      <c r="J59">
        <v>4</v>
      </c>
      <c r="K59" t="s">
        <v>328</v>
      </c>
      <c r="L59" t="s">
        <v>329</v>
      </c>
      <c r="M59">
        <f ca="1">IF(HR_Table[[#This Row],[Exit_Date]]="",DATEDIF(HR_Table[[#This Row],[Joining_Date]],TODAY(),"Y"),DATEDIF(HR_Table[[#This Row],[Joining_Date]],HR_Table[[#This Row],[Exit_Date]],"Y"))</f>
        <v>7</v>
      </c>
      <c r="N59" t="str">
        <f>IF(HR_Table[[#This Row],[Age]]&lt;30,"Under 30",IF(HR_Table[[#This Row],[Age]]&lt;=40,"30-40","Above 40"))</f>
        <v>Above 40</v>
      </c>
      <c r="O59">
        <f>YEAR(HR_Table[[#This Row],[Joining_Date]])</f>
        <v>2018</v>
      </c>
    </row>
    <row r="60" spans="1:15" x14ac:dyDescent="0.3">
      <c r="A60" t="s">
        <v>70</v>
      </c>
      <c r="B60" t="s">
        <v>313</v>
      </c>
      <c r="C60">
        <v>23</v>
      </c>
      <c r="D60" t="s">
        <v>318</v>
      </c>
      <c r="E60" t="s">
        <v>321</v>
      </c>
      <c r="F60" t="s">
        <v>324</v>
      </c>
      <c r="G60">
        <v>39694</v>
      </c>
      <c r="H60" s="1">
        <v>43403</v>
      </c>
      <c r="J60">
        <v>1</v>
      </c>
      <c r="K60" t="s">
        <v>325</v>
      </c>
      <c r="L60" t="s">
        <v>329</v>
      </c>
      <c r="M60">
        <f ca="1">IF(HR_Table[[#This Row],[Exit_Date]]="",DATEDIF(HR_Table[[#This Row],[Joining_Date]],TODAY(),"Y"),DATEDIF(HR_Table[[#This Row],[Joining_Date]],HR_Table[[#This Row],[Exit_Date]],"Y"))</f>
        <v>7</v>
      </c>
      <c r="N60" t="str">
        <f>IF(HR_Table[[#This Row],[Age]]&lt;30,"Under 30",IF(HR_Table[[#This Row],[Age]]&lt;=40,"30-40","Above 40"))</f>
        <v>Under 30</v>
      </c>
      <c r="O60">
        <f>YEAR(HR_Table[[#This Row],[Joining_Date]])</f>
        <v>2018</v>
      </c>
    </row>
    <row r="61" spans="1:15" x14ac:dyDescent="0.3">
      <c r="A61" t="s">
        <v>71</v>
      </c>
      <c r="B61" t="s">
        <v>312</v>
      </c>
      <c r="C61">
        <v>37</v>
      </c>
      <c r="D61" t="s">
        <v>314</v>
      </c>
      <c r="E61" t="s">
        <v>319</v>
      </c>
      <c r="F61" t="s">
        <v>324</v>
      </c>
      <c r="G61">
        <v>68873</v>
      </c>
      <c r="H61" s="1">
        <v>43382</v>
      </c>
      <c r="I61" s="1">
        <v>43723</v>
      </c>
      <c r="J61">
        <v>1</v>
      </c>
      <c r="K61" t="s">
        <v>327</v>
      </c>
      <c r="L61" t="s">
        <v>330</v>
      </c>
      <c r="M61">
        <f ca="1">IF(HR_Table[[#This Row],[Exit_Date]]="",DATEDIF(HR_Table[[#This Row],[Joining_Date]],TODAY(),"Y"),DATEDIF(HR_Table[[#This Row],[Joining_Date]],HR_Table[[#This Row],[Exit_Date]],"Y"))</f>
        <v>0</v>
      </c>
      <c r="N61" t="str">
        <f>IF(HR_Table[[#This Row],[Age]]&lt;30,"Under 30",IF(HR_Table[[#This Row],[Age]]&lt;=40,"30-40","Above 40"))</f>
        <v>30-40</v>
      </c>
      <c r="O61">
        <f>YEAR(HR_Table[[#This Row],[Joining_Date]])</f>
        <v>2018</v>
      </c>
    </row>
    <row r="62" spans="1:15" x14ac:dyDescent="0.3">
      <c r="A62" t="s">
        <v>72</v>
      </c>
      <c r="B62" t="s">
        <v>313</v>
      </c>
      <c r="C62">
        <v>32</v>
      </c>
      <c r="D62" t="s">
        <v>318</v>
      </c>
      <c r="E62" t="s">
        <v>321</v>
      </c>
      <c r="F62" t="s">
        <v>323</v>
      </c>
      <c r="G62">
        <v>88223</v>
      </c>
      <c r="H62" s="1">
        <v>45235</v>
      </c>
      <c r="J62">
        <v>3</v>
      </c>
      <c r="K62" t="s">
        <v>325</v>
      </c>
      <c r="L62" t="s">
        <v>329</v>
      </c>
      <c r="M62">
        <f ca="1">IF(HR_Table[[#This Row],[Exit_Date]]="",DATEDIF(HR_Table[[#This Row],[Joining_Date]],TODAY(),"Y"),DATEDIF(HR_Table[[#This Row],[Joining_Date]],HR_Table[[#This Row],[Exit_Date]],"Y"))</f>
        <v>2</v>
      </c>
      <c r="N62" t="str">
        <f>IF(HR_Table[[#This Row],[Age]]&lt;30,"Under 30",IF(HR_Table[[#This Row],[Age]]&lt;=40,"30-40","Above 40"))</f>
        <v>30-40</v>
      </c>
      <c r="O62">
        <f>YEAR(HR_Table[[#This Row],[Joining_Date]])</f>
        <v>2023</v>
      </c>
    </row>
    <row r="63" spans="1:15" x14ac:dyDescent="0.3">
      <c r="A63" t="s">
        <v>73</v>
      </c>
      <c r="B63" t="s">
        <v>313</v>
      </c>
      <c r="C63">
        <v>47</v>
      </c>
      <c r="D63" t="s">
        <v>315</v>
      </c>
      <c r="E63" t="s">
        <v>319</v>
      </c>
      <c r="F63" t="s">
        <v>323</v>
      </c>
      <c r="G63">
        <v>63803</v>
      </c>
      <c r="H63" s="1">
        <v>42475</v>
      </c>
      <c r="J63">
        <v>2</v>
      </c>
      <c r="K63" t="s">
        <v>325</v>
      </c>
      <c r="L63" t="s">
        <v>329</v>
      </c>
      <c r="M63">
        <f ca="1">IF(HR_Table[[#This Row],[Exit_Date]]="",DATEDIF(HR_Table[[#This Row],[Joining_Date]],TODAY(),"Y"),DATEDIF(HR_Table[[#This Row],[Joining_Date]],HR_Table[[#This Row],[Exit_Date]],"Y"))</f>
        <v>9</v>
      </c>
      <c r="N63" t="str">
        <f>IF(HR_Table[[#This Row],[Age]]&lt;30,"Under 30",IF(HR_Table[[#This Row],[Age]]&lt;=40,"30-40","Above 40"))</f>
        <v>Above 40</v>
      </c>
      <c r="O63">
        <f>YEAR(HR_Table[[#This Row],[Joining_Date]])</f>
        <v>2016</v>
      </c>
    </row>
    <row r="64" spans="1:15" x14ac:dyDescent="0.3">
      <c r="A64" t="s">
        <v>74</v>
      </c>
      <c r="B64" t="s">
        <v>312</v>
      </c>
      <c r="C64">
        <v>24</v>
      </c>
      <c r="D64" t="s">
        <v>317</v>
      </c>
      <c r="E64" t="s">
        <v>322</v>
      </c>
      <c r="F64" t="s">
        <v>324</v>
      </c>
      <c r="G64">
        <v>68353</v>
      </c>
      <c r="H64" s="1">
        <v>45172</v>
      </c>
      <c r="J64">
        <v>3</v>
      </c>
      <c r="K64" t="s">
        <v>325</v>
      </c>
      <c r="L64" t="s">
        <v>329</v>
      </c>
      <c r="M64">
        <f ca="1">IF(HR_Table[[#This Row],[Exit_Date]]="",DATEDIF(HR_Table[[#This Row],[Joining_Date]],TODAY(),"Y"),DATEDIF(HR_Table[[#This Row],[Joining_Date]],HR_Table[[#This Row],[Exit_Date]],"Y"))</f>
        <v>2</v>
      </c>
      <c r="N64" t="str">
        <f>IF(HR_Table[[#This Row],[Age]]&lt;30,"Under 30",IF(HR_Table[[#This Row],[Age]]&lt;=40,"30-40","Above 40"))</f>
        <v>Under 30</v>
      </c>
      <c r="O64">
        <f>YEAR(HR_Table[[#This Row],[Joining_Date]])</f>
        <v>2023</v>
      </c>
    </row>
    <row r="65" spans="1:15" x14ac:dyDescent="0.3">
      <c r="A65" t="s">
        <v>75</v>
      </c>
      <c r="B65" t="s">
        <v>313</v>
      </c>
      <c r="C65">
        <v>53</v>
      </c>
      <c r="D65" t="s">
        <v>315</v>
      </c>
      <c r="E65" t="s">
        <v>319</v>
      </c>
      <c r="F65" t="s">
        <v>324</v>
      </c>
      <c r="G65">
        <v>87966</v>
      </c>
      <c r="H65" s="1">
        <v>45022</v>
      </c>
      <c r="J65">
        <v>3</v>
      </c>
      <c r="K65" t="s">
        <v>326</v>
      </c>
      <c r="L65" t="s">
        <v>329</v>
      </c>
      <c r="M65">
        <f ca="1">IF(HR_Table[[#This Row],[Exit_Date]]="",DATEDIF(HR_Table[[#This Row],[Joining_Date]],TODAY(),"Y"),DATEDIF(HR_Table[[#This Row],[Joining_Date]],HR_Table[[#This Row],[Exit_Date]],"Y"))</f>
        <v>2</v>
      </c>
      <c r="N65" t="str">
        <f>IF(HR_Table[[#This Row],[Age]]&lt;30,"Under 30",IF(HR_Table[[#This Row],[Age]]&lt;=40,"30-40","Above 40"))</f>
        <v>Above 40</v>
      </c>
      <c r="O65">
        <f>YEAR(HR_Table[[#This Row],[Joining_Date]])</f>
        <v>2023</v>
      </c>
    </row>
    <row r="66" spans="1:15" x14ac:dyDescent="0.3">
      <c r="A66" t="s">
        <v>76</v>
      </c>
      <c r="B66" t="s">
        <v>313</v>
      </c>
      <c r="C66">
        <v>52</v>
      </c>
      <c r="D66" t="s">
        <v>316</v>
      </c>
      <c r="E66" t="s">
        <v>320</v>
      </c>
      <c r="F66" t="s">
        <v>324</v>
      </c>
      <c r="G66">
        <v>79115</v>
      </c>
      <c r="H66" s="1">
        <v>44153</v>
      </c>
      <c r="I66" s="1">
        <v>45521</v>
      </c>
      <c r="J66">
        <v>5</v>
      </c>
      <c r="K66" t="s">
        <v>328</v>
      </c>
      <c r="L66" t="s">
        <v>330</v>
      </c>
      <c r="M66">
        <f ca="1">IF(HR_Table[[#This Row],[Exit_Date]]="",DATEDIF(HR_Table[[#This Row],[Joining_Date]],TODAY(),"Y"),DATEDIF(HR_Table[[#This Row],[Joining_Date]],HR_Table[[#This Row],[Exit_Date]],"Y"))</f>
        <v>3</v>
      </c>
      <c r="N66" t="str">
        <f>IF(HR_Table[[#This Row],[Age]]&lt;30,"Under 30",IF(HR_Table[[#This Row],[Age]]&lt;=40,"30-40","Above 40"))</f>
        <v>Above 40</v>
      </c>
      <c r="O66">
        <f>YEAR(HR_Table[[#This Row],[Joining_Date]])</f>
        <v>2020</v>
      </c>
    </row>
    <row r="67" spans="1:15" x14ac:dyDescent="0.3">
      <c r="A67" t="s">
        <v>77</v>
      </c>
      <c r="B67" t="s">
        <v>312</v>
      </c>
      <c r="C67">
        <v>39</v>
      </c>
      <c r="D67" t="s">
        <v>317</v>
      </c>
      <c r="E67" t="s">
        <v>322</v>
      </c>
      <c r="F67" t="s">
        <v>323</v>
      </c>
      <c r="G67">
        <v>74183</v>
      </c>
      <c r="H67" s="1">
        <v>43375</v>
      </c>
      <c r="J67">
        <v>4</v>
      </c>
      <c r="K67" t="s">
        <v>326</v>
      </c>
      <c r="L67" t="s">
        <v>329</v>
      </c>
      <c r="M67">
        <f ca="1">IF(HR_Table[[#This Row],[Exit_Date]]="",DATEDIF(HR_Table[[#This Row],[Joining_Date]],TODAY(),"Y"),DATEDIF(HR_Table[[#This Row],[Joining_Date]],HR_Table[[#This Row],[Exit_Date]],"Y"))</f>
        <v>7</v>
      </c>
      <c r="N67" t="str">
        <f>IF(HR_Table[[#This Row],[Age]]&lt;30,"Under 30",IF(HR_Table[[#This Row],[Age]]&lt;=40,"30-40","Above 40"))</f>
        <v>30-40</v>
      </c>
      <c r="O67">
        <f>YEAR(HR_Table[[#This Row],[Joining_Date]])</f>
        <v>2018</v>
      </c>
    </row>
    <row r="68" spans="1:15" x14ac:dyDescent="0.3">
      <c r="A68" t="s">
        <v>78</v>
      </c>
      <c r="B68" t="s">
        <v>313</v>
      </c>
      <c r="C68">
        <v>33</v>
      </c>
      <c r="D68" t="s">
        <v>317</v>
      </c>
      <c r="E68" t="s">
        <v>322</v>
      </c>
      <c r="F68" t="s">
        <v>323</v>
      </c>
      <c r="G68">
        <v>48253</v>
      </c>
      <c r="H68" s="1">
        <v>42487</v>
      </c>
      <c r="J68">
        <v>3</v>
      </c>
      <c r="K68" t="s">
        <v>328</v>
      </c>
      <c r="L68" t="s">
        <v>329</v>
      </c>
      <c r="M68">
        <f ca="1">IF(HR_Table[[#This Row],[Exit_Date]]="",DATEDIF(HR_Table[[#This Row],[Joining_Date]],TODAY(),"Y"),DATEDIF(HR_Table[[#This Row],[Joining_Date]],HR_Table[[#This Row],[Exit_Date]],"Y"))</f>
        <v>9</v>
      </c>
      <c r="N68" t="str">
        <f>IF(HR_Table[[#This Row],[Age]]&lt;30,"Under 30",IF(HR_Table[[#This Row],[Age]]&lt;=40,"30-40","Above 40"))</f>
        <v>30-40</v>
      </c>
      <c r="O68">
        <f>YEAR(HR_Table[[#This Row],[Joining_Date]])</f>
        <v>2016</v>
      </c>
    </row>
    <row r="69" spans="1:15" x14ac:dyDescent="0.3">
      <c r="A69" t="s">
        <v>79</v>
      </c>
      <c r="B69" t="s">
        <v>313</v>
      </c>
      <c r="C69">
        <v>22</v>
      </c>
      <c r="D69" t="s">
        <v>317</v>
      </c>
      <c r="E69" t="s">
        <v>320</v>
      </c>
      <c r="F69" t="s">
        <v>323</v>
      </c>
      <c r="G69">
        <v>30610</v>
      </c>
      <c r="H69" s="1">
        <v>44811</v>
      </c>
      <c r="J69">
        <v>2</v>
      </c>
      <c r="K69" t="s">
        <v>326</v>
      </c>
      <c r="L69" t="s">
        <v>329</v>
      </c>
      <c r="M69">
        <f ca="1">IF(HR_Table[[#This Row],[Exit_Date]]="",DATEDIF(HR_Table[[#This Row],[Joining_Date]],TODAY(),"Y"),DATEDIF(HR_Table[[#This Row],[Joining_Date]],HR_Table[[#This Row],[Exit_Date]],"Y"))</f>
        <v>3</v>
      </c>
      <c r="N69" t="str">
        <f>IF(HR_Table[[#This Row],[Age]]&lt;30,"Under 30",IF(HR_Table[[#This Row],[Age]]&lt;=40,"30-40","Above 40"))</f>
        <v>Under 30</v>
      </c>
      <c r="O69">
        <f>YEAR(HR_Table[[#This Row],[Joining_Date]])</f>
        <v>2022</v>
      </c>
    </row>
    <row r="70" spans="1:15" x14ac:dyDescent="0.3">
      <c r="A70" t="s">
        <v>80</v>
      </c>
      <c r="B70" t="s">
        <v>313</v>
      </c>
      <c r="C70">
        <v>53</v>
      </c>
      <c r="D70" t="s">
        <v>318</v>
      </c>
      <c r="E70" t="s">
        <v>320</v>
      </c>
      <c r="F70" t="s">
        <v>323</v>
      </c>
      <c r="G70">
        <v>31098</v>
      </c>
      <c r="H70" s="1">
        <v>44644</v>
      </c>
      <c r="J70">
        <v>3</v>
      </c>
      <c r="K70" t="s">
        <v>327</v>
      </c>
      <c r="L70" t="s">
        <v>329</v>
      </c>
      <c r="M70">
        <f ca="1">IF(HR_Table[[#This Row],[Exit_Date]]="",DATEDIF(HR_Table[[#This Row],[Joining_Date]],TODAY(),"Y"),DATEDIF(HR_Table[[#This Row],[Joining_Date]],HR_Table[[#This Row],[Exit_Date]],"Y"))</f>
        <v>3</v>
      </c>
      <c r="N70" t="str">
        <f>IF(HR_Table[[#This Row],[Age]]&lt;30,"Under 30",IF(HR_Table[[#This Row],[Age]]&lt;=40,"30-40","Above 40"))</f>
        <v>Above 40</v>
      </c>
      <c r="O70">
        <f>YEAR(HR_Table[[#This Row],[Joining_Date]])</f>
        <v>2022</v>
      </c>
    </row>
    <row r="71" spans="1:15" x14ac:dyDescent="0.3">
      <c r="A71" t="s">
        <v>81</v>
      </c>
      <c r="B71" t="s">
        <v>313</v>
      </c>
      <c r="C71">
        <v>52</v>
      </c>
      <c r="D71" t="s">
        <v>318</v>
      </c>
      <c r="E71" t="s">
        <v>320</v>
      </c>
      <c r="F71" t="s">
        <v>324</v>
      </c>
      <c r="G71">
        <v>73885</v>
      </c>
      <c r="H71" s="1">
        <v>45203</v>
      </c>
      <c r="J71">
        <v>5</v>
      </c>
      <c r="K71" t="s">
        <v>328</v>
      </c>
      <c r="L71" t="s">
        <v>329</v>
      </c>
      <c r="M71">
        <f ca="1">IF(HR_Table[[#This Row],[Exit_Date]]="",DATEDIF(HR_Table[[#This Row],[Joining_Date]],TODAY(),"Y"),DATEDIF(HR_Table[[#This Row],[Joining_Date]],HR_Table[[#This Row],[Exit_Date]],"Y"))</f>
        <v>2</v>
      </c>
      <c r="N71" t="str">
        <f>IF(HR_Table[[#This Row],[Age]]&lt;30,"Under 30",IF(HR_Table[[#This Row],[Age]]&lt;=40,"30-40","Above 40"))</f>
        <v>Above 40</v>
      </c>
      <c r="O71">
        <f>YEAR(HR_Table[[#This Row],[Joining_Date]])</f>
        <v>2023</v>
      </c>
    </row>
    <row r="72" spans="1:15" x14ac:dyDescent="0.3">
      <c r="A72" t="s">
        <v>82</v>
      </c>
      <c r="B72" t="s">
        <v>313</v>
      </c>
      <c r="C72">
        <v>38</v>
      </c>
      <c r="D72" t="s">
        <v>317</v>
      </c>
      <c r="E72" t="s">
        <v>321</v>
      </c>
      <c r="F72" t="s">
        <v>323</v>
      </c>
      <c r="G72">
        <v>72270</v>
      </c>
      <c r="H72" s="1">
        <v>45248</v>
      </c>
      <c r="J72">
        <v>2</v>
      </c>
      <c r="K72" t="s">
        <v>328</v>
      </c>
      <c r="L72" t="s">
        <v>329</v>
      </c>
      <c r="M72">
        <f ca="1">IF(HR_Table[[#This Row],[Exit_Date]]="",DATEDIF(HR_Table[[#This Row],[Joining_Date]],TODAY(),"Y"),DATEDIF(HR_Table[[#This Row],[Joining_Date]],HR_Table[[#This Row],[Exit_Date]],"Y"))</f>
        <v>2</v>
      </c>
      <c r="N72" t="str">
        <f>IF(HR_Table[[#This Row],[Age]]&lt;30,"Under 30",IF(HR_Table[[#This Row],[Age]]&lt;=40,"30-40","Above 40"))</f>
        <v>30-40</v>
      </c>
      <c r="O72">
        <f>YEAR(HR_Table[[#This Row],[Joining_Date]])</f>
        <v>2023</v>
      </c>
    </row>
    <row r="73" spans="1:15" x14ac:dyDescent="0.3">
      <c r="A73" t="s">
        <v>83</v>
      </c>
      <c r="B73" t="s">
        <v>312</v>
      </c>
      <c r="C73">
        <v>34</v>
      </c>
      <c r="D73" t="s">
        <v>314</v>
      </c>
      <c r="E73" t="s">
        <v>319</v>
      </c>
      <c r="F73" t="s">
        <v>324</v>
      </c>
      <c r="G73">
        <v>43120</v>
      </c>
      <c r="H73" s="1">
        <v>44564</v>
      </c>
      <c r="J73">
        <v>5</v>
      </c>
      <c r="K73" t="s">
        <v>328</v>
      </c>
      <c r="L73" t="s">
        <v>329</v>
      </c>
      <c r="M73">
        <f ca="1">IF(HR_Table[[#This Row],[Exit_Date]]="",DATEDIF(HR_Table[[#This Row],[Joining_Date]],TODAY(),"Y"),DATEDIF(HR_Table[[#This Row],[Joining_Date]],HR_Table[[#This Row],[Exit_Date]],"Y"))</f>
        <v>4</v>
      </c>
      <c r="N73" t="str">
        <f>IF(HR_Table[[#This Row],[Age]]&lt;30,"Under 30",IF(HR_Table[[#This Row],[Age]]&lt;=40,"30-40","Above 40"))</f>
        <v>30-40</v>
      </c>
      <c r="O73">
        <f>YEAR(HR_Table[[#This Row],[Joining_Date]])</f>
        <v>2022</v>
      </c>
    </row>
    <row r="74" spans="1:15" x14ac:dyDescent="0.3">
      <c r="A74" t="s">
        <v>84</v>
      </c>
      <c r="B74" t="s">
        <v>313</v>
      </c>
      <c r="C74">
        <v>33</v>
      </c>
      <c r="D74" t="s">
        <v>314</v>
      </c>
      <c r="E74" t="s">
        <v>320</v>
      </c>
      <c r="F74" t="s">
        <v>323</v>
      </c>
      <c r="G74">
        <v>71400</v>
      </c>
      <c r="H74" s="1">
        <v>43165</v>
      </c>
      <c r="J74">
        <v>5</v>
      </c>
      <c r="K74" t="s">
        <v>327</v>
      </c>
      <c r="L74" t="s">
        <v>329</v>
      </c>
      <c r="M74">
        <f ca="1">IF(HR_Table[[#This Row],[Exit_Date]]="",DATEDIF(HR_Table[[#This Row],[Joining_Date]],TODAY(),"Y"),DATEDIF(HR_Table[[#This Row],[Joining_Date]],HR_Table[[#This Row],[Exit_Date]],"Y"))</f>
        <v>8</v>
      </c>
      <c r="N74" t="str">
        <f>IF(HR_Table[[#This Row],[Age]]&lt;30,"Under 30",IF(HR_Table[[#This Row],[Age]]&lt;=40,"30-40","Above 40"))</f>
        <v>30-40</v>
      </c>
      <c r="O74">
        <f>YEAR(HR_Table[[#This Row],[Joining_Date]])</f>
        <v>2018</v>
      </c>
    </row>
    <row r="75" spans="1:15" x14ac:dyDescent="0.3">
      <c r="A75" t="s">
        <v>85</v>
      </c>
      <c r="B75" t="s">
        <v>313</v>
      </c>
      <c r="C75">
        <v>30</v>
      </c>
      <c r="D75" t="s">
        <v>317</v>
      </c>
      <c r="E75" t="s">
        <v>320</v>
      </c>
      <c r="F75" t="s">
        <v>324</v>
      </c>
      <c r="G75">
        <v>31723</v>
      </c>
      <c r="H75" s="1">
        <v>42556</v>
      </c>
      <c r="J75">
        <v>1</v>
      </c>
      <c r="K75" t="s">
        <v>328</v>
      </c>
      <c r="L75" t="s">
        <v>329</v>
      </c>
      <c r="M75">
        <f ca="1">IF(HR_Table[[#This Row],[Exit_Date]]="",DATEDIF(HR_Table[[#This Row],[Joining_Date]],TODAY(),"Y"),DATEDIF(HR_Table[[#This Row],[Joining_Date]],HR_Table[[#This Row],[Exit_Date]],"Y"))</f>
        <v>9</v>
      </c>
      <c r="N75" t="str">
        <f>IF(HR_Table[[#This Row],[Age]]&lt;30,"Under 30",IF(HR_Table[[#This Row],[Age]]&lt;=40,"30-40","Above 40"))</f>
        <v>30-40</v>
      </c>
      <c r="O75">
        <f>YEAR(HR_Table[[#This Row],[Joining_Date]])</f>
        <v>2016</v>
      </c>
    </row>
    <row r="76" spans="1:15" x14ac:dyDescent="0.3">
      <c r="A76" t="s">
        <v>86</v>
      </c>
      <c r="B76" t="s">
        <v>312</v>
      </c>
      <c r="C76">
        <v>25</v>
      </c>
      <c r="D76" t="s">
        <v>318</v>
      </c>
      <c r="E76" t="s">
        <v>320</v>
      </c>
      <c r="F76" t="s">
        <v>324</v>
      </c>
      <c r="G76">
        <v>32476</v>
      </c>
      <c r="H76" s="1">
        <v>44330</v>
      </c>
      <c r="J76">
        <v>1</v>
      </c>
      <c r="K76" t="s">
        <v>326</v>
      </c>
      <c r="L76" t="s">
        <v>329</v>
      </c>
      <c r="M76">
        <f ca="1">IF(HR_Table[[#This Row],[Exit_Date]]="",DATEDIF(HR_Table[[#This Row],[Joining_Date]],TODAY(),"Y"),DATEDIF(HR_Table[[#This Row],[Joining_Date]],HR_Table[[#This Row],[Exit_Date]],"Y"))</f>
        <v>4</v>
      </c>
      <c r="N76" t="str">
        <f>IF(HR_Table[[#This Row],[Age]]&lt;30,"Under 30",IF(HR_Table[[#This Row],[Age]]&lt;=40,"30-40","Above 40"))</f>
        <v>Under 30</v>
      </c>
      <c r="O76">
        <f>YEAR(HR_Table[[#This Row],[Joining_Date]])</f>
        <v>2021</v>
      </c>
    </row>
    <row r="77" spans="1:15" x14ac:dyDescent="0.3">
      <c r="A77" t="s">
        <v>87</v>
      </c>
      <c r="B77" t="s">
        <v>312</v>
      </c>
      <c r="C77">
        <v>31</v>
      </c>
      <c r="D77" t="s">
        <v>318</v>
      </c>
      <c r="E77" t="s">
        <v>321</v>
      </c>
      <c r="F77" t="s">
        <v>324</v>
      </c>
      <c r="G77">
        <v>30582</v>
      </c>
      <c r="H77" s="1">
        <v>42673</v>
      </c>
      <c r="J77">
        <v>2</v>
      </c>
      <c r="K77" t="s">
        <v>325</v>
      </c>
      <c r="L77" t="s">
        <v>329</v>
      </c>
      <c r="M77">
        <f ca="1">IF(HR_Table[[#This Row],[Exit_Date]]="",DATEDIF(HR_Table[[#This Row],[Joining_Date]],TODAY(),"Y"),DATEDIF(HR_Table[[#This Row],[Joining_Date]],HR_Table[[#This Row],[Exit_Date]],"Y"))</f>
        <v>9</v>
      </c>
      <c r="N77" t="str">
        <f>IF(HR_Table[[#This Row],[Age]]&lt;30,"Under 30",IF(HR_Table[[#This Row],[Age]]&lt;=40,"30-40","Above 40"))</f>
        <v>30-40</v>
      </c>
      <c r="O77">
        <f>YEAR(HR_Table[[#This Row],[Joining_Date]])</f>
        <v>2016</v>
      </c>
    </row>
    <row r="78" spans="1:15" x14ac:dyDescent="0.3">
      <c r="A78" t="s">
        <v>88</v>
      </c>
      <c r="B78" t="s">
        <v>312</v>
      </c>
      <c r="C78">
        <v>55</v>
      </c>
      <c r="D78" t="s">
        <v>315</v>
      </c>
      <c r="E78" t="s">
        <v>320</v>
      </c>
      <c r="F78" t="s">
        <v>324</v>
      </c>
      <c r="G78">
        <v>84539</v>
      </c>
      <c r="H78" s="1">
        <v>44074</v>
      </c>
      <c r="J78">
        <v>4</v>
      </c>
      <c r="K78" t="s">
        <v>328</v>
      </c>
      <c r="L78" t="s">
        <v>329</v>
      </c>
      <c r="M78">
        <f ca="1">IF(HR_Table[[#This Row],[Exit_Date]]="",DATEDIF(HR_Table[[#This Row],[Joining_Date]],TODAY(),"Y"),DATEDIF(HR_Table[[#This Row],[Joining_Date]],HR_Table[[#This Row],[Exit_Date]],"Y"))</f>
        <v>5</v>
      </c>
      <c r="N78" t="str">
        <f>IF(HR_Table[[#This Row],[Age]]&lt;30,"Under 30",IF(HR_Table[[#This Row],[Age]]&lt;=40,"30-40","Above 40"))</f>
        <v>Above 40</v>
      </c>
      <c r="O78">
        <f>YEAR(HR_Table[[#This Row],[Joining_Date]])</f>
        <v>2020</v>
      </c>
    </row>
    <row r="79" spans="1:15" x14ac:dyDescent="0.3">
      <c r="A79" t="s">
        <v>89</v>
      </c>
      <c r="B79" t="s">
        <v>312</v>
      </c>
      <c r="C79">
        <v>28</v>
      </c>
      <c r="D79" t="s">
        <v>315</v>
      </c>
      <c r="E79" t="s">
        <v>319</v>
      </c>
      <c r="F79" t="s">
        <v>323</v>
      </c>
      <c r="G79">
        <v>42343</v>
      </c>
      <c r="H79" s="1">
        <v>44126</v>
      </c>
      <c r="J79">
        <v>1</v>
      </c>
      <c r="K79" t="s">
        <v>327</v>
      </c>
      <c r="L79" t="s">
        <v>329</v>
      </c>
      <c r="M79">
        <f ca="1">IF(HR_Table[[#This Row],[Exit_Date]]="",DATEDIF(HR_Table[[#This Row],[Joining_Date]],TODAY(),"Y"),DATEDIF(HR_Table[[#This Row],[Joining_Date]],HR_Table[[#This Row],[Exit_Date]],"Y"))</f>
        <v>5</v>
      </c>
      <c r="N79" t="str">
        <f>IF(HR_Table[[#This Row],[Age]]&lt;30,"Under 30",IF(HR_Table[[#This Row],[Age]]&lt;=40,"30-40","Above 40"))</f>
        <v>Under 30</v>
      </c>
      <c r="O79">
        <f>YEAR(HR_Table[[#This Row],[Joining_Date]])</f>
        <v>2020</v>
      </c>
    </row>
    <row r="80" spans="1:15" x14ac:dyDescent="0.3">
      <c r="A80" t="s">
        <v>90</v>
      </c>
      <c r="B80" t="s">
        <v>312</v>
      </c>
      <c r="C80">
        <v>22</v>
      </c>
      <c r="D80" t="s">
        <v>316</v>
      </c>
      <c r="E80" t="s">
        <v>320</v>
      </c>
      <c r="F80" t="s">
        <v>324</v>
      </c>
      <c r="G80">
        <v>70178</v>
      </c>
      <c r="H80" s="1">
        <v>43081</v>
      </c>
      <c r="J80">
        <v>5</v>
      </c>
      <c r="K80" t="s">
        <v>326</v>
      </c>
      <c r="L80" t="s">
        <v>329</v>
      </c>
      <c r="M80">
        <f ca="1">IF(HR_Table[[#This Row],[Exit_Date]]="",DATEDIF(HR_Table[[#This Row],[Joining_Date]],TODAY(),"Y"),DATEDIF(HR_Table[[#This Row],[Joining_Date]],HR_Table[[#This Row],[Exit_Date]],"Y"))</f>
        <v>8</v>
      </c>
      <c r="N80" t="str">
        <f>IF(HR_Table[[#This Row],[Age]]&lt;30,"Under 30",IF(HR_Table[[#This Row],[Age]]&lt;=40,"30-40","Above 40"))</f>
        <v>Under 30</v>
      </c>
      <c r="O80">
        <f>YEAR(HR_Table[[#This Row],[Joining_Date]])</f>
        <v>2017</v>
      </c>
    </row>
    <row r="81" spans="1:15" x14ac:dyDescent="0.3">
      <c r="A81" t="s">
        <v>91</v>
      </c>
      <c r="B81" t="s">
        <v>313</v>
      </c>
      <c r="C81">
        <v>51</v>
      </c>
      <c r="D81" t="s">
        <v>317</v>
      </c>
      <c r="E81" t="s">
        <v>321</v>
      </c>
      <c r="F81" t="s">
        <v>323</v>
      </c>
      <c r="G81">
        <v>85549</v>
      </c>
      <c r="H81" s="1">
        <v>42503</v>
      </c>
      <c r="I81" s="1">
        <v>44250</v>
      </c>
      <c r="J81">
        <v>3</v>
      </c>
      <c r="K81" t="s">
        <v>327</v>
      </c>
      <c r="L81" t="s">
        <v>330</v>
      </c>
      <c r="M81">
        <f ca="1">IF(HR_Table[[#This Row],[Exit_Date]]="",DATEDIF(HR_Table[[#This Row],[Joining_Date]],TODAY(),"Y"),DATEDIF(HR_Table[[#This Row],[Joining_Date]],HR_Table[[#This Row],[Exit_Date]],"Y"))</f>
        <v>4</v>
      </c>
      <c r="N81" t="str">
        <f>IF(HR_Table[[#This Row],[Age]]&lt;30,"Under 30",IF(HR_Table[[#This Row],[Age]]&lt;=40,"30-40","Above 40"))</f>
        <v>Above 40</v>
      </c>
      <c r="O81">
        <f>YEAR(HR_Table[[#This Row],[Joining_Date]])</f>
        <v>2016</v>
      </c>
    </row>
    <row r="82" spans="1:15" x14ac:dyDescent="0.3">
      <c r="A82" t="s">
        <v>92</v>
      </c>
      <c r="B82" t="s">
        <v>312</v>
      </c>
      <c r="C82">
        <v>39</v>
      </c>
      <c r="D82" t="s">
        <v>318</v>
      </c>
      <c r="E82" t="s">
        <v>321</v>
      </c>
      <c r="F82" t="s">
        <v>323</v>
      </c>
      <c r="G82">
        <v>28908</v>
      </c>
      <c r="H82" s="1">
        <v>42840</v>
      </c>
      <c r="J82">
        <v>2</v>
      </c>
      <c r="K82" t="s">
        <v>328</v>
      </c>
      <c r="L82" t="s">
        <v>329</v>
      </c>
      <c r="M82">
        <f ca="1">IF(HR_Table[[#This Row],[Exit_Date]]="",DATEDIF(HR_Table[[#This Row],[Joining_Date]],TODAY(),"Y"),DATEDIF(HR_Table[[#This Row],[Joining_Date]],HR_Table[[#This Row],[Exit_Date]],"Y"))</f>
        <v>8</v>
      </c>
      <c r="N82" t="str">
        <f>IF(HR_Table[[#This Row],[Age]]&lt;30,"Under 30",IF(HR_Table[[#This Row],[Age]]&lt;=40,"30-40","Above 40"))</f>
        <v>30-40</v>
      </c>
      <c r="O82">
        <f>YEAR(HR_Table[[#This Row],[Joining_Date]])</f>
        <v>2017</v>
      </c>
    </row>
    <row r="83" spans="1:15" x14ac:dyDescent="0.3">
      <c r="A83" t="s">
        <v>93</v>
      </c>
      <c r="B83" t="s">
        <v>313</v>
      </c>
      <c r="C83">
        <v>29</v>
      </c>
      <c r="D83" t="s">
        <v>315</v>
      </c>
      <c r="E83" t="s">
        <v>320</v>
      </c>
      <c r="F83" t="s">
        <v>324</v>
      </c>
      <c r="G83">
        <v>70857</v>
      </c>
      <c r="H83" s="1">
        <v>44701</v>
      </c>
      <c r="J83">
        <v>4</v>
      </c>
      <c r="K83" t="s">
        <v>328</v>
      </c>
      <c r="L83" t="s">
        <v>329</v>
      </c>
      <c r="M83">
        <f ca="1">IF(HR_Table[[#This Row],[Exit_Date]]="",DATEDIF(HR_Table[[#This Row],[Joining_Date]],TODAY(),"Y"),DATEDIF(HR_Table[[#This Row],[Joining_Date]],HR_Table[[#This Row],[Exit_Date]],"Y"))</f>
        <v>3</v>
      </c>
      <c r="N83" t="str">
        <f>IF(HR_Table[[#This Row],[Age]]&lt;30,"Under 30",IF(HR_Table[[#This Row],[Age]]&lt;=40,"30-40","Above 40"))</f>
        <v>Under 30</v>
      </c>
      <c r="O83">
        <f>YEAR(HR_Table[[#This Row],[Joining_Date]])</f>
        <v>2022</v>
      </c>
    </row>
    <row r="84" spans="1:15" x14ac:dyDescent="0.3">
      <c r="A84" t="s">
        <v>94</v>
      </c>
      <c r="B84" t="s">
        <v>312</v>
      </c>
      <c r="C84">
        <v>24</v>
      </c>
      <c r="D84" t="s">
        <v>315</v>
      </c>
      <c r="E84" t="s">
        <v>320</v>
      </c>
      <c r="F84" t="s">
        <v>324</v>
      </c>
      <c r="G84">
        <v>64564</v>
      </c>
      <c r="H84" s="1">
        <v>44581</v>
      </c>
      <c r="J84">
        <v>3</v>
      </c>
      <c r="K84" t="s">
        <v>325</v>
      </c>
      <c r="L84" t="s">
        <v>329</v>
      </c>
      <c r="M84">
        <f ca="1">IF(HR_Table[[#This Row],[Exit_Date]]="",DATEDIF(HR_Table[[#This Row],[Joining_Date]],TODAY(),"Y"),DATEDIF(HR_Table[[#This Row],[Joining_Date]],HR_Table[[#This Row],[Exit_Date]],"Y"))</f>
        <v>4</v>
      </c>
      <c r="N84" t="str">
        <f>IF(HR_Table[[#This Row],[Age]]&lt;30,"Under 30",IF(HR_Table[[#This Row],[Age]]&lt;=40,"30-40","Above 40"))</f>
        <v>Under 30</v>
      </c>
      <c r="O84">
        <f>YEAR(HR_Table[[#This Row],[Joining_Date]])</f>
        <v>2022</v>
      </c>
    </row>
    <row r="85" spans="1:15" x14ac:dyDescent="0.3">
      <c r="A85" t="s">
        <v>95</v>
      </c>
      <c r="B85" t="s">
        <v>312</v>
      </c>
      <c r="C85">
        <v>39</v>
      </c>
      <c r="D85" t="s">
        <v>314</v>
      </c>
      <c r="E85" t="s">
        <v>319</v>
      </c>
      <c r="F85" t="s">
        <v>323</v>
      </c>
      <c r="G85">
        <v>55834</v>
      </c>
      <c r="H85" s="1">
        <v>43307</v>
      </c>
      <c r="J85">
        <v>5</v>
      </c>
      <c r="K85" t="s">
        <v>326</v>
      </c>
      <c r="L85" t="s">
        <v>329</v>
      </c>
      <c r="M85">
        <f ca="1">IF(HR_Table[[#This Row],[Exit_Date]]="",DATEDIF(HR_Table[[#This Row],[Joining_Date]],TODAY(),"Y"),DATEDIF(HR_Table[[#This Row],[Joining_Date]],HR_Table[[#This Row],[Exit_Date]],"Y"))</f>
        <v>7</v>
      </c>
      <c r="N85" t="str">
        <f>IF(HR_Table[[#This Row],[Age]]&lt;30,"Under 30",IF(HR_Table[[#This Row],[Age]]&lt;=40,"30-40","Above 40"))</f>
        <v>30-40</v>
      </c>
      <c r="O85">
        <f>YEAR(HR_Table[[#This Row],[Joining_Date]])</f>
        <v>2018</v>
      </c>
    </row>
    <row r="86" spans="1:15" x14ac:dyDescent="0.3">
      <c r="A86" t="s">
        <v>96</v>
      </c>
      <c r="B86" t="s">
        <v>313</v>
      </c>
      <c r="C86">
        <v>53</v>
      </c>
      <c r="D86" t="s">
        <v>317</v>
      </c>
      <c r="E86" t="s">
        <v>321</v>
      </c>
      <c r="F86" t="s">
        <v>324</v>
      </c>
      <c r="G86">
        <v>47803</v>
      </c>
      <c r="H86" s="1">
        <v>43113</v>
      </c>
      <c r="J86">
        <v>4</v>
      </c>
      <c r="K86" t="s">
        <v>328</v>
      </c>
      <c r="L86" t="s">
        <v>329</v>
      </c>
      <c r="M86">
        <f ca="1">IF(HR_Table[[#This Row],[Exit_Date]]="",DATEDIF(HR_Table[[#This Row],[Joining_Date]],TODAY(),"Y"),DATEDIF(HR_Table[[#This Row],[Joining_Date]],HR_Table[[#This Row],[Exit_Date]],"Y"))</f>
        <v>8</v>
      </c>
      <c r="N86" t="str">
        <f>IF(HR_Table[[#This Row],[Age]]&lt;30,"Under 30",IF(HR_Table[[#This Row],[Age]]&lt;=40,"30-40","Above 40"))</f>
        <v>Above 40</v>
      </c>
      <c r="O86">
        <f>YEAR(HR_Table[[#This Row],[Joining_Date]])</f>
        <v>2018</v>
      </c>
    </row>
    <row r="87" spans="1:15" x14ac:dyDescent="0.3">
      <c r="A87" t="s">
        <v>97</v>
      </c>
      <c r="B87" t="s">
        <v>313</v>
      </c>
      <c r="C87">
        <v>48</v>
      </c>
      <c r="D87" t="s">
        <v>317</v>
      </c>
      <c r="E87" t="s">
        <v>320</v>
      </c>
      <c r="F87" t="s">
        <v>324</v>
      </c>
      <c r="G87">
        <v>43888</v>
      </c>
      <c r="H87" s="1">
        <v>45114</v>
      </c>
      <c r="J87">
        <v>4</v>
      </c>
      <c r="K87" t="s">
        <v>325</v>
      </c>
      <c r="L87" t="s">
        <v>329</v>
      </c>
      <c r="M87">
        <f ca="1">IF(HR_Table[[#This Row],[Exit_Date]]="",DATEDIF(HR_Table[[#This Row],[Joining_Date]],TODAY(),"Y"),DATEDIF(HR_Table[[#This Row],[Joining_Date]],HR_Table[[#This Row],[Exit_Date]],"Y"))</f>
        <v>2</v>
      </c>
      <c r="N87" t="str">
        <f>IF(HR_Table[[#This Row],[Age]]&lt;30,"Under 30",IF(HR_Table[[#This Row],[Age]]&lt;=40,"30-40","Above 40"))</f>
        <v>Above 40</v>
      </c>
      <c r="O87">
        <f>YEAR(HR_Table[[#This Row],[Joining_Date]])</f>
        <v>2023</v>
      </c>
    </row>
    <row r="88" spans="1:15" x14ac:dyDescent="0.3">
      <c r="A88" t="s">
        <v>98</v>
      </c>
      <c r="B88" t="s">
        <v>313</v>
      </c>
      <c r="C88">
        <v>29</v>
      </c>
      <c r="D88" t="s">
        <v>318</v>
      </c>
      <c r="E88" t="s">
        <v>320</v>
      </c>
      <c r="F88" t="s">
        <v>323</v>
      </c>
      <c r="G88">
        <v>68100</v>
      </c>
      <c r="H88" s="1">
        <v>42730</v>
      </c>
      <c r="J88">
        <v>5</v>
      </c>
      <c r="K88" t="s">
        <v>326</v>
      </c>
      <c r="L88" t="s">
        <v>329</v>
      </c>
      <c r="M88">
        <f ca="1">IF(HR_Table[[#This Row],[Exit_Date]]="",DATEDIF(HR_Table[[#This Row],[Joining_Date]],TODAY(),"Y"),DATEDIF(HR_Table[[#This Row],[Joining_Date]],HR_Table[[#This Row],[Exit_Date]],"Y"))</f>
        <v>9</v>
      </c>
      <c r="N88" t="str">
        <f>IF(HR_Table[[#This Row],[Age]]&lt;30,"Under 30",IF(HR_Table[[#This Row],[Age]]&lt;=40,"30-40","Above 40"))</f>
        <v>Under 30</v>
      </c>
      <c r="O88">
        <f>YEAR(HR_Table[[#This Row],[Joining_Date]])</f>
        <v>2016</v>
      </c>
    </row>
    <row r="89" spans="1:15" x14ac:dyDescent="0.3">
      <c r="A89" t="s">
        <v>99</v>
      </c>
      <c r="B89" t="s">
        <v>313</v>
      </c>
      <c r="C89">
        <v>50</v>
      </c>
      <c r="D89" t="s">
        <v>318</v>
      </c>
      <c r="E89" t="s">
        <v>321</v>
      </c>
      <c r="F89" t="s">
        <v>323</v>
      </c>
      <c r="G89">
        <v>42501</v>
      </c>
      <c r="H89" s="1">
        <v>42592</v>
      </c>
      <c r="I89" s="1">
        <v>43632</v>
      </c>
      <c r="J89">
        <v>5</v>
      </c>
      <c r="K89" t="s">
        <v>327</v>
      </c>
      <c r="L89" t="s">
        <v>330</v>
      </c>
      <c r="M89">
        <f ca="1">IF(HR_Table[[#This Row],[Exit_Date]]="",DATEDIF(HR_Table[[#This Row],[Joining_Date]],TODAY(),"Y"),DATEDIF(HR_Table[[#This Row],[Joining_Date]],HR_Table[[#This Row],[Exit_Date]],"Y"))</f>
        <v>2</v>
      </c>
      <c r="N89" t="str">
        <f>IF(HR_Table[[#This Row],[Age]]&lt;30,"Under 30",IF(HR_Table[[#This Row],[Age]]&lt;=40,"30-40","Above 40"))</f>
        <v>Above 40</v>
      </c>
      <c r="O89">
        <f>YEAR(HR_Table[[#This Row],[Joining_Date]])</f>
        <v>2016</v>
      </c>
    </row>
    <row r="90" spans="1:15" x14ac:dyDescent="0.3">
      <c r="A90" t="s">
        <v>100</v>
      </c>
      <c r="B90" t="s">
        <v>313</v>
      </c>
      <c r="C90">
        <v>29</v>
      </c>
      <c r="D90" t="s">
        <v>317</v>
      </c>
      <c r="E90" t="s">
        <v>321</v>
      </c>
      <c r="F90" t="s">
        <v>323</v>
      </c>
      <c r="G90">
        <v>71516</v>
      </c>
      <c r="H90" s="1">
        <v>44164</v>
      </c>
      <c r="J90">
        <v>2</v>
      </c>
      <c r="K90" t="s">
        <v>328</v>
      </c>
      <c r="L90" t="s">
        <v>329</v>
      </c>
      <c r="M90">
        <f ca="1">IF(HR_Table[[#This Row],[Exit_Date]]="",DATEDIF(HR_Table[[#This Row],[Joining_Date]],TODAY(),"Y"),DATEDIF(HR_Table[[#This Row],[Joining_Date]],HR_Table[[#This Row],[Exit_Date]],"Y"))</f>
        <v>5</v>
      </c>
      <c r="N90" t="str">
        <f>IF(HR_Table[[#This Row],[Age]]&lt;30,"Under 30",IF(HR_Table[[#This Row],[Age]]&lt;=40,"30-40","Above 40"))</f>
        <v>Under 30</v>
      </c>
      <c r="O90">
        <f>YEAR(HR_Table[[#This Row],[Joining_Date]])</f>
        <v>2020</v>
      </c>
    </row>
    <row r="91" spans="1:15" x14ac:dyDescent="0.3">
      <c r="A91" t="s">
        <v>101</v>
      </c>
      <c r="B91" t="s">
        <v>312</v>
      </c>
      <c r="C91">
        <v>36</v>
      </c>
      <c r="D91" t="s">
        <v>315</v>
      </c>
      <c r="E91" t="s">
        <v>319</v>
      </c>
      <c r="F91" t="s">
        <v>324</v>
      </c>
      <c r="G91">
        <v>87066</v>
      </c>
      <c r="H91" s="1">
        <v>42426</v>
      </c>
      <c r="J91">
        <v>1</v>
      </c>
      <c r="K91" t="s">
        <v>327</v>
      </c>
      <c r="L91" t="s">
        <v>329</v>
      </c>
      <c r="M91">
        <f ca="1">IF(HR_Table[[#This Row],[Exit_Date]]="",DATEDIF(HR_Table[[#This Row],[Joining_Date]],TODAY(),"Y"),DATEDIF(HR_Table[[#This Row],[Joining_Date]],HR_Table[[#This Row],[Exit_Date]],"Y"))</f>
        <v>10</v>
      </c>
      <c r="N91" t="str">
        <f>IF(HR_Table[[#This Row],[Age]]&lt;30,"Under 30",IF(HR_Table[[#This Row],[Age]]&lt;=40,"30-40","Above 40"))</f>
        <v>30-40</v>
      </c>
      <c r="O91">
        <f>YEAR(HR_Table[[#This Row],[Joining_Date]])</f>
        <v>2016</v>
      </c>
    </row>
    <row r="92" spans="1:15" x14ac:dyDescent="0.3">
      <c r="A92" t="s">
        <v>102</v>
      </c>
      <c r="B92" t="s">
        <v>313</v>
      </c>
      <c r="C92">
        <v>48</v>
      </c>
      <c r="D92" t="s">
        <v>318</v>
      </c>
      <c r="E92" t="s">
        <v>320</v>
      </c>
      <c r="F92" t="s">
        <v>324</v>
      </c>
      <c r="G92">
        <v>40973</v>
      </c>
      <c r="H92" s="1">
        <v>45305</v>
      </c>
      <c r="J92">
        <v>4</v>
      </c>
      <c r="K92" t="s">
        <v>327</v>
      </c>
      <c r="L92" t="s">
        <v>329</v>
      </c>
      <c r="M92">
        <f ca="1">IF(HR_Table[[#This Row],[Exit_Date]]="",DATEDIF(HR_Table[[#This Row],[Joining_Date]],TODAY(),"Y"),DATEDIF(HR_Table[[#This Row],[Joining_Date]],HR_Table[[#This Row],[Exit_Date]],"Y"))</f>
        <v>2</v>
      </c>
      <c r="N92" t="str">
        <f>IF(HR_Table[[#This Row],[Age]]&lt;30,"Under 30",IF(HR_Table[[#This Row],[Age]]&lt;=40,"30-40","Above 40"))</f>
        <v>Above 40</v>
      </c>
      <c r="O92">
        <f>YEAR(HR_Table[[#This Row],[Joining_Date]])</f>
        <v>2024</v>
      </c>
    </row>
    <row r="93" spans="1:15" x14ac:dyDescent="0.3">
      <c r="A93" t="s">
        <v>103</v>
      </c>
      <c r="B93" t="s">
        <v>312</v>
      </c>
      <c r="C93">
        <v>26</v>
      </c>
      <c r="D93" t="s">
        <v>318</v>
      </c>
      <c r="E93" t="s">
        <v>320</v>
      </c>
      <c r="F93" t="s">
        <v>324</v>
      </c>
      <c r="G93">
        <v>47274</v>
      </c>
      <c r="H93" s="1">
        <v>43150</v>
      </c>
      <c r="J93">
        <v>5</v>
      </c>
      <c r="K93" t="s">
        <v>328</v>
      </c>
      <c r="L93" t="s">
        <v>329</v>
      </c>
      <c r="M93">
        <f ca="1">IF(HR_Table[[#This Row],[Exit_Date]]="",DATEDIF(HR_Table[[#This Row],[Joining_Date]],TODAY(),"Y"),DATEDIF(HR_Table[[#This Row],[Joining_Date]],HR_Table[[#This Row],[Exit_Date]],"Y"))</f>
        <v>8</v>
      </c>
      <c r="N93" t="str">
        <f>IF(HR_Table[[#This Row],[Age]]&lt;30,"Under 30",IF(HR_Table[[#This Row],[Age]]&lt;=40,"30-40","Above 40"))</f>
        <v>Under 30</v>
      </c>
      <c r="O93">
        <f>YEAR(HR_Table[[#This Row],[Joining_Date]])</f>
        <v>2018</v>
      </c>
    </row>
    <row r="94" spans="1:15" x14ac:dyDescent="0.3">
      <c r="A94" t="s">
        <v>104</v>
      </c>
      <c r="B94" t="s">
        <v>313</v>
      </c>
      <c r="C94">
        <v>31</v>
      </c>
      <c r="D94" t="s">
        <v>314</v>
      </c>
      <c r="E94" t="s">
        <v>320</v>
      </c>
      <c r="F94" t="s">
        <v>324</v>
      </c>
      <c r="G94">
        <v>47618</v>
      </c>
      <c r="H94" s="1">
        <v>43528</v>
      </c>
      <c r="J94">
        <v>3</v>
      </c>
      <c r="K94" t="s">
        <v>326</v>
      </c>
      <c r="L94" t="s">
        <v>329</v>
      </c>
      <c r="M94">
        <f ca="1">IF(HR_Table[[#This Row],[Exit_Date]]="",DATEDIF(HR_Table[[#This Row],[Joining_Date]],TODAY(),"Y"),DATEDIF(HR_Table[[#This Row],[Joining_Date]],HR_Table[[#This Row],[Exit_Date]],"Y"))</f>
        <v>7</v>
      </c>
      <c r="N94" t="str">
        <f>IF(HR_Table[[#This Row],[Age]]&lt;30,"Under 30",IF(HR_Table[[#This Row],[Age]]&lt;=40,"30-40","Above 40"))</f>
        <v>30-40</v>
      </c>
      <c r="O94">
        <f>YEAR(HR_Table[[#This Row],[Joining_Date]])</f>
        <v>2019</v>
      </c>
    </row>
    <row r="95" spans="1:15" x14ac:dyDescent="0.3">
      <c r="A95" t="s">
        <v>105</v>
      </c>
      <c r="B95" t="s">
        <v>312</v>
      </c>
      <c r="C95">
        <v>46</v>
      </c>
      <c r="D95" t="s">
        <v>318</v>
      </c>
      <c r="E95" t="s">
        <v>321</v>
      </c>
      <c r="F95" t="s">
        <v>324</v>
      </c>
      <c r="G95">
        <v>27860</v>
      </c>
      <c r="H95" s="1">
        <v>43688</v>
      </c>
      <c r="J95">
        <v>3</v>
      </c>
      <c r="K95" t="s">
        <v>326</v>
      </c>
      <c r="L95" t="s">
        <v>329</v>
      </c>
      <c r="M95">
        <f ca="1">IF(HR_Table[[#This Row],[Exit_Date]]="",DATEDIF(HR_Table[[#This Row],[Joining_Date]],TODAY(),"Y"),DATEDIF(HR_Table[[#This Row],[Joining_Date]],HR_Table[[#This Row],[Exit_Date]],"Y"))</f>
        <v>6</v>
      </c>
      <c r="N95" t="str">
        <f>IF(HR_Table[[#This Row],[Age]]&lt;30,"Under 30",IF(HR_Table[[#This Row],[Age]]&lt;=40,"30-40","Above 40"))</f>
        <v>Above 40</v>
      </c>
      <c r="O95">
        <f>YEAR(HR_Table[[#This Row],[Joining_Date]])</f>
        <v>2019</v>
      </c>
    </row>
    <row r="96" spans="1:15" x14ac:dyDescent="0.3">
      <c r="A96" t="s">
        <v>106</v>
      </c>
      <c r="B96" t="s">
        <v>312</v>
      </c>
      <c r="C96">
        <v>53</v>
      </c>
      <c r="D96" t="s">
        <v>318</v>
      </c>
      <c r="E96" t="s">
        <v>321</v>
      </c>
      <c r="F96" t="s">
        <v>323</v>
      </c>
      <c r="G96">
        <v>57918</v>
      </c>
      <c r="H96" s="1">
        <v>43951</v>
      </c>
      <c r="J96">
        <v>5</v>
      </c>
      <c r="K96" t="s">
        <v>328</v>
      </c>
      <c r="L96" t="s">
        <v>329</v>
      </c>
      <c r="M96">
        <f ca="1">IF(HR_Table[[#This Row],[Exit_Date]]="",DATEDIF(HR_Table[[#This Row],[Joining_Date]],TODAY(),"Y"),DATEDIF(HR_Table[[#This Row],[Joining_Date]],HR_Table[[#This Row],[Exit_Date]],"Y"))</f>
        <v>5</v>
      </c>
      <c r="N96" t="str">
        <f>IF(HR_Table[[#This Row],[Age]]&lt;30,"Under 30",IF(HR_Table[[#This Row],[Age]]&lt;=40,"30-40","Above 40"))</f>
        <v>Above 40</v>
      </c>
      <c r="O96">
        <f>YEAR(HR_Table[[#This Row],[Joining_Date]])</f>
        <v>2020</v>
      </c>
    </row>
    <row r="97" spans="1:15" x14ac:dyDescent="0.3">
      <c r="A97" t="s">
        <v>107</v>
      </c>
      <c r="B97" t="s">
        <v>312</v>
      </c>
      <c r="C97">
        <v>31</v>
      </c>
      <c r="D97" t="s">
        <v>314</v>
      </c>
      <c r="E97" t="s">
        <v>320</v>
      </c>
      <c r="F97" t="s">
        <v>323</v>
      </c>
      <c r="G97">
        <v>29903</v>
      </c>
      <c r="H97" s="1">
        <v>44173</v>
      </c>
      <c r="I97" s="1">
        <v>45408</v>
      </c>
      <c r="J97">
        <v>4</v>
      </c>
      <c r="K97" t="s">
        <v>328</v>
      </c>
      <c r="L97" t="s">
        <v>330</v>
      </c>
      <c r="M97">
        <f ca="1">IF(HR_Table[[#This Row],[Exit_Date]]="",DATEDIF(HR_Table[[#This Row],[Joining_Date]],TODAY(),"Y"),DATEDIF(HR_Table[[#This Row],[Joining_Date]],HR_Table[[#This Row],[Exit_Date]],"Y"))</f>
        <v>3</v>
      </c>
      <c r="N97" t="str">
        <f>IF(HR_Table[[#This Row],[Age]]&lt;30,"Under 30",IF(HR_Table[[#This Row],[Age]]&lt;=40,"30-40","Above 40"))</f>
        <v>30-40</v>
      </c>
      <c r="O97">
        <f>YEAR(HR_Table[[#This Row],[Joining_Date]])</f>
        <v>2020</v>
      </c>
    </row>
    <row r="98" spans="1:15" x14ac:dyDescent="0.3">
      <c r="A98" t="s">
        <v>108</v>
      </c>
      <c r="B98" t="s">
        <v>312</v>
      </c>
      <c r="C98">
        <v>43</v>
      </c>
      <c r="D98" t="s">
        <v>317</v>
      </c>
      <c r="E98" t="s">
        <v>320</v>
      </c>
      <c r="F98" t="s">
        <v>324</v>
      </c>
      <c r="G98">
        <v>87530</v>
      </c>
      <c r="H98" s="1">
        <v>44922</v>
      </c>
      <c r="J98">
        <v>3</v>
      </c>
      <c r="K98" t="s">
        <v>326</v>
      </c>
      <c r="L98" t="s">
        <v>329</v>
      </c>
      <c r="M98">
        <f ca="1">IF(HR_Table[[#This Row],[Exit_Date]]="",DATEDIF(HR_Table[[#This Row],[Joining_Date]],TODAY(),"Y"),DATEDIF(HR_Table[[#This Row],[Joining_Date]],HR_Table[[#This Row],[Exit_Date]],"Y"))</f>
        <v>3</v>
      </c>
      <c r="N98" t="str">
        <f>IF(HR_Table[[#This Row],[Age]]&lt;30,"Under 30",IF(HR_Table[[#This Row],[Age]]&lt;=40,"30-40","Above 40"))</f>
        <v>Above 40</v>
      </c>
      <c r="O98">
        <f>YEAR(HR_Table[[#This Row],[Joining_Date]])</f>
        <v>2022</v>
      </c>
    </row>
    <row r="99" spans="1:15" x14ac:dyDescent="0.3">
      <c r="A99" t="s">
        <v>109</v>
      </c>
      <c r="B99" t="s">
        <v>312</v>
      </c>
      <c r="C99">
        <v>40</v>
      </c>
      <c r="D99" t="s">
        <v>315</v>
      </c>
      <c r="E99" t="s">
        <v>319</v>
      </c>
      <c r="F99" t="s">
        <v>323</v>
      </c>
      <c r="G99">
        <v>53440</v>
      </c>
      <c r="H99" s="1">
        <v>42517</v>
      </c>
      <c r="J99">
        <v>1</v>
      </c>
      <c r="K99" t="s">
        <v>325</v>
      </c>
      <c r="L99" t="s">
        <v>329</v>
      </c>
      <c r="M99">
        <f ca="1">IF(HR_Table[[#This Row],[Exit_Date]]="",DATEDIF(HR_Table[[#This Row],[Joining_Date]],TODAY(),"Y"),DATEDIF(HR_Table[[#This Row],[Joining_Date]],HR_Table[[#This Row],[Exit_Date]],"Y"))</f>
        <v>9</v>
      </c>
      <c r="N99" t="str">
        <f>IF(HR_Table[[#This Row],[Age]]&lt;30,"Under 30",IF(HR_Table[[#This Row],[Age]]&lt;=40,"30-40","Above 40"))</f>
        <v>30-40</v>
      </c>
      <c r="O99">
        <f>YEAR(HR_Table[[#This Row],[Joining_Date]])</f>
        <v>2016</v>
      </c>
    </row>
    <row r="100" spans="1:15" x14ac:dyDescent="0.3">
      <c r="A100" t="s">
        <v>110</v>
      </c>
      <c r="B100" t="s">
        <v>312</v>
      </c>
      <c r="C100">
        <v>24</v>
      </c>
      <c r="D100" t="s">
        <v>318</v>
      </c>
      <c r="E100" t="s">
        <v>320</v>
      </c>
      <c r="F100" t="s">
        <v>323</v>
      </c>
      <c r="G100">
        <v>44226</v>
      </c>
      <c r="H100" s="1">
        <v>43051</v>
      </c>
      <c r="J100">
        <v>3</v>
      </c>
      <c r="K100" t="s">
        <v>328</v>
      </c>
      <c r="L100" t="s">
        <v>329</v>
      </c>
      <c r="M100">
        <f ca="1">IF(HR_Table[[#This Row],[Exit_Date]]="",DATEDIF(HR_Table[[#This Row],[Joining_Date]],TODAY(),"Y"),DATEDIF(HR_Table[[#This Row],[Joining_Date]],HR_Table[[#This Row],[Exit_Date]],"Y"))</f>
        <v>8</v>
      </c>
      <c r="N100" t="str">
        <f>IF(HR_Table[[#This Row],[Age]]&lt;30,"Under 30",IF(HR_Table[[#This Row],[Age]]&lt;=40,"30-40","Above 40"))</f>
        <v>Under 30</v>
      </c>
      <c r="O100">
        <f>YEAR(HR_Table[[#This Row],[Joining_Date]])</f>
        <v>2017</v>
      </c>
    </row>
    <row r="101" spans="1:15" x14ac:dyDescent="0.3">
      <c r="A101" t="s">
        <v>111</v>
      </c>
      <c r="B101" t="s">
        <v>312</v>
      </c>
      <c r="C101">
        <v>32</v>
      </c>
      <c r="D101" t="s">
        <v>318</v>
      </c>
      <c r="E101" t="s">
        <v>321</v>
      </c>
      <c r="F101" t="s">
        <v>323</v>
      </c>
      <c r="G101">
        <v>64943</v>
      </c>
      <c r="H101" s="1">
        <v>42966</v>
      </c>
      <c r="I101" s="1">
        <v>44109</v>
      </c>
      <c r="J101">
        <v>4</v>
      </c>
      <c r="K101" t="s">
        <v>327</v>
      </c>
      <c r="L101" t="s">
        <v>330</v>
      </c>
      <c r="M101">
        <f ca="1">IF(HR_Table[[#This Row],[Exit_Date]]="",DATEDIF(HR_Table[[#This Row],[Joining_Date]],TODAY(),"Y"),DATEDIF(HR_Table[[#This Row],[Joining_Date]],HR_Table[[#This Row],[Exit_Date]],"Y"))</f>
        <v>3</v>
      </c>
      <c r="N101" t="str">
        <f>IF(HR_Table[[#This Row],[Age]]&lt;30,"Under 30",IF(HR_Table[[#This Row],[Age]]&lt;=40,"30-40","Above 40"))</f>
        <v>30-40</v>
      </c>
      <c r="O101">
        <f>YEAR(HR_Table[[#This Row],[Joining_Date]])</f>
        <v>2017</v>
      </c>
    </row>
    <row r="102" spans="1:15" x14ac:dyDescent="0.3">
      <c r="A102" t="s">
        <v>112</v>
      </c>
      <c r="B102" t="s">
        <v>313</v>
      </c>
      <c r="C102">
        <v>51</v>
      </c>
      <c r="D102" t="s">
        <v>318</v>
      </c>
      <c r="E102" t="s">
        <v>320</v>
      </c>
      <c r="F102" t="s">
        <v>323</v>
      </c>
      <c r="G102">
        <v>83910</v>
      </c>
      <c r="H102" s="1">
        <v>44758</v>
      </c>
      <c r="J102">
        <v>4</v>
      </c>
      <c r="K102" t="s">
        <v>328</v>
      </c>
      <c r="L102" t="s">
        <v>329</v>
      </c>
      <c r="M102">
        <f ca="1">IF(HR_Table[[#This Row],[Exit_Date]]="",DATEDIF(HR_Table[[#This Row],[Joining_Date]],TODAY(),"Y"),DATEDIF(HR_Table[[#This Row],[Joining_Date]],HR_Table[[#This Row],[Exit_Date]],"Y"))</f>
        <v>3</v>
      </c>
      <c r="N102" t="str">
        <f>IF(HR_Table[[#This Row],[Age]]&lt;30,"Under 30",IF(HR_Table[[#This Row],[Age]]&lt;=40,"30-40","Above 40"))</f>
        <v>Above 40</v>
      </c>
      <c r="O102">
        <f>YEAR(HR_Table[[#This Row],[Joining_Date]])</f>
        <v>2022</v>
      </c>
    </row>
    <row r="103" spans="1:15" x14ac:dyDescent="0.3">
      <c r="A103" t="s">
        <v>113</v>
      </c>
      <c r="B103" t="s">
        <v>313</v>
      </c>
      <c r="C103">
        <v>49</v>
      </c>
      <c r="D103" t="s">
        <v>315</v>
      </c>
      <c r="E103" t="s">
        <v>320</v>
      </c>
      <c r="F103" t="s">
        <v>324</v>
      </c>
      <c r="G103">
        <v>80397</v>
      </c>
      <c r="H103" s="1">
        <v>43017</v>
      </c>
      <c r="I103" s="1">
        <v>44024</v>
      </c>
      <c r="J103">
        <v>3</v>
      </c>
      <c r="K103" t="s">
        <v>327</v>
      </c>
      <c r="L103" t="s">
        <v>330</v>
      </c>
      <c r="M103">
        <f ca="1">IF(HR_Table[[#This Row],[Exit_Date]]="",DATEDIF(HR_Table[[#This Row],[Joining_Date]],TODAY(),"Y"),DATEDIF(HR_Table[[#This Row],[Joining_Date]],HR_Table[[#This Row],[Exit_Date]],"Y"))</f>
        <v>2</v>
      </c>
      <c r="N103" t="str">
        <f>IF(HR_Table[[#This Row],[Age]]&lt;30,"Under 30",IF(HR_Table[[#This Row],[Age]]&lt;=40,"30-40","Above 40"))</f>
        <v>Above 40</v>
      </c>
      <c r="O103">
        <f>YEAR(HR_Table[[#This Row],[Joining_Date]])</f>
        <v>2017</v>
      </c>
    </row>
    <row r="104" spans="1:15" x14ac:dyDescent="0.3">
      <c r="A104" t="s">
        <v>114</v>
      </c>
      <c r="B104" t="s">
        <v>313</v>
      </c>
      <c r="C104">
        <v>40</v>
      </c>
      <c r="D104" t="s">
        <v>318</v>
      </c>
      <c r="E104" t="s">
        <v>320</v>
      </c>
      <c r="F104" t="s">
        <v>323</v>
      </c>
      <c r="G104">
        <v>89090</v>
      </c>
      <c r="H104" s="1">
        <v>44349</v>
      </c>
      <c r="I104" s="1">
        <v>45430</v>
      </c>
      <c r="J104">
        <v>4</v>
      </c>
      <c r="K104" t="s">
        <v>328</v>
      </c>
      <c r="L104" t="s">
        <v>330</v>
      </c>
      <c r="M104">
        <f ca="1">IF(HR_Table[[#This Row],[Exit_Date]]="",DATEDIF(HR_Table[[#This Row],[Joining_Date]],TODAY(),"Y"),DATEDIF(HR_Table[[#This Row],[Joining_Date]],HR_Table[[#This Row],[Exit_Date]],"Y"))</f>
        <v>2</v>
      </c>
      <c r="N104" t="str">
        <f>IF(HR_Table[[#This Row],[Age]]&lt;30,"Under 30",IF(HR_Table[[#This Row],[Age]]&lt;=40,"30-40","Above 40"))</f>
        <v>30-40</v>
      </c>
      <c r="O104">
        <f>YEAR(HR_Table[[#This Row],[Joining_Date]])</f>
        <v>2021</v>
      </c>
    </row>
    <row r="105" spans="1:15" x14ac:dyDescent="0.3">
      <c r="A105" t="s">
        <v>115</v>
      </c>
      <c r="B105" t="s">
        <v>312</v>
      </c>
      <c r="C105">
        <v>53</v>
      </c>
      <c r="D105" t="s">
        <v>314</v>
      </c>
      <c r="E105" t="s">
        <v>320</v>
      </c>
      <c r="F105" t="s">
        <v>323</v>
      </c>
      <c r="G105">
        <v>64784</v>
      </c>
      <c r="H105" s="1">
        <v>44688</v>
      </c>
      <c r="J105">
        <v>3</v>
      </c>
      <c r="K105" t="s">
        <v>327</v>
      </c>
      <c r="L105" t="s">
        <v>329</v>
      </c>
      <c r="M105">
        <f ca="1">IF(HR_Table[[#This Row],[Exit_Date]]="",DATEDIF(HR_Table[[#This Row],[Joining_Date]],TODAY(),"Y"),DATEDIF(HR_Table[[#This Row],[Joining_Date]],HR_Table[[#This Row],[Exit_Date]],"Y"))</f>
        <v>3</v>
      </c>
      <c r="N105" t="str">
        <f>IF(HR_Table[[#This Row],[Age]]&lt;30,"Under 30",IF(HR_Table[[#This Row],[Age]]&lt;=40,"30-40","Above 40"))</f>
        <v>Above 40</v>
      </c>
      <c r="O105">
        <f>YEAR(HR_Table[[#This Row],[Joining_Date]])</f>
        <v>2022</v>
      </c>
    </row>
    <row r="106" spans="1:15" x14ac:dyDescent="0.3">
      <c r="A106" t="s">
        <v>116</v>
      </c>
      <c r="B106" t="s">
        <v>312</v>
      </c>
      <c r="C106">
        <v>28</v>
      </c>
      <c r="D106" t="s">
        <v>316</v>
      </c>
      <c r="E106" t="s">
        <v>319</v>
      </c>
      <c r="F106" t="s">
        <v>324</v>
      </c>
      <c r="G106">
        <v>76682</v>
      </c>
      <c r="H106" s="1">
        <v>44913</v>
      </c>
      <c r="J106">
        <v>4</v>
      </c>
      <c r="K106" t="s">
        <v>325</v>
      </c>
      <c r="L106" t="s">
        <v>329</v>
      </c>
      <c r="M106">
        <f ca="1">IF(HR_Table[[#This Row],[Exit_Date]]="",DATEDIF(HR_Table[[#This Row],[Joining_Date]],TODAY(),"Y"),DATEDIF(HR_Table[[#This Row],[Joining_Date]],HR_Table[[#This Row],[Exit_Date]],"Y"))</f>
        <v>3</v>
      </c>
      <c r="N106" t="str">
        <f>IF(HR_Table[[#This Row],[Age]]&lt;30,"Under 30",IF(HR_Table[[#This Row],[Age]]&lt;=40,"30-40","Above 40"))</f>
        <v>Under 30</v>
      </c>
      <c r="O106">
        <f>YEAR(HR_Table[[#This Row],[Joining_Date]])</f>
        <v>2022</v>
      </c>
    </row>
    <row r="107" spans="1:15" x14ac:dyDescent="0.3">
      <c r="A107" t="s">
        <v>117</v>
      </c>
      <c r="B107" t="s">
        <v>312</v>
      </c>
      <c r="C107">
        <v>40</v>
      </c>
      <c r="D107" t="s">
        <v>315</v>
      </c>
      <c r="E107" t="s">
        <v>320</v>
      </c>
      <c r="F107" t="s">
        <v>324</v>
      </c>
      <c r="G107">
        <v>36510</v>
      </c>
      <c r="H107" s="1">
        <v>43864</v>
      </c>
      <c r="J107">
        <v>2</v>
      </c>
      <c r="K107" t="s">
        <v>327</v>
      </c>
      <c r="L107" t="s">
        <v>329</v>
      </c>
      <c r="M107">
        <f ca="1">IF(HR_Table[[#This Row],[Exit_Date]]="",DATEDIF(HR_Table[[#This Row],[Joining_Date]],TODAY(),"Y"),DATEDIF(HR_Table[[#This Row],[Joining_Date]],HR_Table[[#This Row],[Exit_Date]],"Y"))</f>
        <v>6</v>
      </c>
      <c r="N107" t="str">
        <f>IF(HR_Table[[#This Row],[Age]]&lt;30,"Under 30",IF(HR_Table[[#This Row],[Age]]&lt;=40,"30-40","Above 40"))</f>
        <v>30-40</v>
      </c>
      <c r="O107">
        <f>YEAR(HR_Table[[#This Row],[Joining_Date]])</f>
        <v>2020</v>
      </c>
    </row>
    <row r="108" spans="1:15" x14ac:dyDescent="0.3">
      <c r="A108" t="s">
        <v>118</v>
      </c>
      <c r="B108" t="s">
        <v>313</v>
      </c>
      <c r="C108">
        <v>32</v>
      </c>
      <c r="D108" t="s">
        <v>315</v>
      </c>
      <c r="E108" t="s">
        <v>320</v>
      </c>
      <c r="F108" t="s">
        <v>324</v>
      </c>
      <c r="G108">
        <v>88398</v>
      </c>
      <c r="H108" s="1">
        <v>43868</v>
      </c>
      <c r="J108">
        <v>3</v>
      </c>
      <c r="K108" t="s">
        <v>328</v>
      </c>
      <c r="L108" t="s">
        <v>329</v>
      </c>
      <c r="M108">
        <f ca="1">IF(HR_Table[[#This Row],[Exit_Date]]="",DATEDIF(HR_Table[[#This Row],[Joining_Date]],TODAY(),"Y"),DATEDIF(HR_Table[[#This Row],[Joining_Date]],HR_Table[[#This Row],[Exit_Date]],"Y"))</f>
        <v>6</v>
      </c>
      <c r="N108" t="str">
        <f>IF(HR_Table[[#This Row],[Age]]&lt;30,"Under 30",IF(HR_Table[[#This Row],[Age]]&lt;=40,"30-40","Above 40"))</f>
        <v>30-40</v>
      </c>
      <c r="O108">
        <f>YEAR(HR_Table[[#This Row],[Joining_Date]])</f>
        <v>2020</v>
      </c>
    </row>
    <row r="109" spans="1:15" x14ac:dyDescent="0.3">
      <c r="A109" t="s">
        <v>119</v>
      </c>
      <c r="B109" t="s">
        <v>312</v>
      </c>
      <c r="C109">
        <v>36</v>
      </c>
      <c r="D109" t="s">
        <v>314</v>
      </c>
      <c r="E109" t="s">
        <v>320</v>
      </c>
      <c r="F109" t="s">
        <v>324</v>
      </c>
      <c r="G109">
        <v>30918</v>
      </c>
      <c r="H109" s="1">
        <v>44288</v>
      </c>
      <c r="J109">
        <v>4</v>
      </c>
      <c r="K109" t="s">
        <v>325</v>
      </c>
      <c r="L109" t="s">
        <v>329</v>
      </c>
      <c r="M109">
        <f ca="1">IF(HR_Table[[#This Row],[Exit_Date]]="",DATEDIF(HR_Table[[#This Row],[Joining_Date]],TODAY(),"Y"),DATEDIF(HR_Table[[#This Row],[Joining_Date]],HR_Table[[#This Row],[Exit_Date]],"Y"))</f>
        <v>4</v>
      </c>
      <c r="N109" t="str">
        <f>IF(HR_Table[[#This Row],[Age]]&lt;30,"Under 30",IF(HR_Table[[#This Row],[Age]]&lt;=40,"30-40","Above 40"))</f>
        <v>30-40</v>
      </c>
      <c r="O109">
        <f>YEAR(HR_Table[[#This Row],[Joining_Date]])</f>
        <v>2021</v>
      </c>
    </row>
    <row r="110" spans="1:15" x14ac:dyDescent="0.3">
      <c r="A110" t="s">
        <v>120</v>
      </c>
      <c r="B110" t="s">
        <v>313</v>
      </c>
      <c r="C110">
        <v>46</v>
      </c>
      <c r="D110" t="s">
        <v>317</v>
      </c>
      <c r="E110" t="s">
        <v>320</v>
      </c>
      <c r="F110" t="s">
        <v>324</v>
      </c>
      <c r="G110">
        <v>32100</v>
      </c>
      <c r="H110" s="1">
        <v>44567</v>
      </c>
      <c r="I110" s="1">
        <v>45621</v>
      </c>
      <c r="J110">
        <v>2</v>
      </c>
      <c r="K110" t="s">
        <v>326</v>
      </c>
      <c r="L110" t="s">
        <v>330</v>
      </c>
      <c r="M110">
        <f ca="1">IF(HR_Table[[#This Row],[Exit_Date]]="",DATEDIF(HR_Table[[#This Row],[Joining_Date]],TODAY(),"Y"),DATEDIF(HR_Table[[#This Row],[Joining_Date]],HR_Table[[#This Row],[Exit_Date]],"Y"))</f>
        <v>2</v>
      </c>
      <c r="N110" t="str">
        <f>IF(HR_Table[[#This Row],[Age]]&lt;30,"Under 30",IF(HR_Table[[#This Row],[Age]]&lt;=40,"30-40","Above 40"))</f>
        <v>Above 40</v>
      </c>
      <c r="O110">
        <f>YEAR(HR_Table[[#This Row],[Joining_Date]])</f>
        <v>2022</v>
      </c>
    </row>
    <row r="111" spans="1:15" x14ac:dyDescent="0.3">
      <c r="A111" t="s">
        <v>121</v>
      </c>
      <c r="B111" t="s">
        <v>313</v>
      </c>
      <c r="C111">
        <v>36</v>
      </c>
      <c r="D111" t="s">
        <v>314</v>
      </c>
      <c r="E111" t="s">
        <v>319</v>
      </c>
      <c r="F111" t="s">
        <v>324</v>
      </c>
      <c r="G111">
        <v>84597</v>
      </c>
      <c r="H111" s="1">
        <v>44907</v>
      </c>
      <c r="J111">
        <v>3</v>
      </c>
      <c r="K111" t="s">
        <v>326</v>
      </c>
      <c r="L111" t="s">
        <v>329</v>
      </c>
      <c r="M111">
        <f ca="1">IF(HR_Table[[#This Row],[Exit_Date]]="",DATEDIF(HR_Table[[#This Row],[Joining_Date]],TODAY(),"Y"),DATEDIF(HR_Table[[#This Row],[Joining_Date]],HR_Table[[#This Row],[Exit_Date]],"Y"))</f>
        <v>3</v>
      </c>
      <c r="N111" t="str">
        <f>IF(HR_Table[[#This Row],[Age]]&lt;30,"Under 30",IF(HR_Table[[#This Row],[Age]]&lt;=40,"30-40","Above 40"))</f>
        <v>30-40</v>
      </c>
      <c r="O111">
        <f>YEAR(HR_Table[[#This Row],[Joining_Date]])</f>
        <v>2022</v>
      </c>
    </row>
    <row r="112" spans="1:15" x14ac:dyDescent="0.3">
      <c r="A112" t="s">
        <v>122</v>
      </c>
      <c r="B112" t="s">
        <v>313</v>
      </c>
      <c r="C112">
        <v>53</v>
      </c>
      <c r="D112" t="s">
        <v>314</v>
      </c>
      <c r="E112" t="s">
        <v>319</v>
      </c>
      <c r="F112" t="s">
        <v>323</v>
      </c>
      <c r="G112">
        <v>40387</v>
      </c>
      <c r="H112" s="1">
        <v>42942</v>
      </c>
      <c r="I112" s="1">
        <v>43318</v>
      </c>
      <c r="J112">
        <v>5</v>
      </c>
      <c r="K112" t="s">
        <v>327</v>
      </c>
      <c r="L112" t="s">
        <v>330</v>
      </c>
      <c r="M112">
        <f ca="1">IF(HR_Table[[#This Row],[Exit_Date]]="",DATEDIF(HR_Table[[#This Row],[Joining_Date]],TODAY(),"Y"),DATEDIF(HR_Table[[#This Row],[Joining_Date]],HR_Table[[#This Row],[Exit_Date]],"Y"))</f>
        <v>1</v>
      </c>
      <c r="N112" t="str">
        <f>IF(HR_Table[[#This Row],[Age]]&lt;30,"Under 30",IF(HR_Table[[#This Row],[Age]]&lt;=40,"30-40","Above 40"))</f>
        <v>Above 40</v>
      </c>
      <c r="O112">
        <f>YEAR(HR_Table[[#This Row],[Joining_Date]])</f>
        <v>2017</v>
      </c>
    </row>
    <row r="113" spans="1:15" x14ac:dyDescent="0.3">
      <c r="A113" t="s">
        <v>123</v>
      </c>
      <c r="B113" t="s">
        <v>313</v>
      </c>
      <c r="C113">
        <v>31</v>
      </c>
      <c r="D113" t="s">
        <v>318</v>
      </c>
      <c r="E113" t="s">
        <v>320</v>
      </c>
      <c r="F113" t="s">
        <v>323</v>
      </c>
      <c r="G113">
        <v>79636</v>
      </c>
      <c r="H113" s="1">
        <v>44228</v>
      </c>
      <c r="J113">
        <v>4</v>
      </c>
      <c r="K113" t="s">
        <v>326</v>
      </c>
      <c r="L113" t="s">
        <v>329</v>
      </c>
      <c r="M113">
        <f ca="1">IF(HR_Table[[#This Row],[Exit_Date]]="",DATEDIF(HR_Table[[#This Row],[Joining_Date]],TODAY(),"Y"),DATEDIF(HR_Table[[#This Row],[Joining_Date]],HR_Table[[#This Row],[Exit_Date]],"Y"))</f>
        <v>5</v>
      </c>
      <c r="N113" t="str">
        <f>IF(HR_Table[[#This Row],[Age]]&lt;30,"Under 30",IF(HR_Table[[#This Row],[Age]]&lt;=40,"30-40","Above 40"))</f>
        <v>30-40</v>
      </c>
      <c r="O113">
        <f>YEAR(HR_Table[[#This Row],[Joining_Date]])</f>
        <v>2021</v>
      </c>
    </row>
    <row r="114" spans="1:15" x14ac:dyDescent="0.3">
      <c r="A114" t="s">
        <v>124</v>
      </c>
      <c r="B114" t="s">
        <v>312</v>
      </c>
      <c r="C114">
        <v>50</v>
      </c>
      <c r="D114" t="s">
        <v>317</v>
      </c>
      <c r="E114" t="s">
        <v>322</v>
      </c>
      <c r="F114" t="s">
        <v>323</v>
      </c>
      <c r="G114">
        <v>81062</v>
      </c>
      <c r="H114" s="1">
        <v>42504</v>
      </c>
      <c r="J114">
        <v>3</v>
      </c>
      <c r="K114" t="s">
        <v>325</v>
      </c>
      <c r="L114" t="s">
        <v>329</v>
      </c>
      <c r="M114">
        <f ca="1">IF(HR_Table[[#This Row],[Exit_Date]]="",DATEDIF(HR_Table[[#This Row],[Joining_Date]],TODAY(),"Y"),DATEDIF(HR_Table[[#This Row],[Joining_Date]],HR_Table[[#This Row],[Exit_Date]],"Y"))</f>
        <v>9</v>
      </c>
      <c r="N114" t="str">
        <f>IF(HR_Table[[#This Row],[Age]]&lt;30,"Under 30",IF(HR_Table[[#This Row],[Age]]&lt;=40,"30-40","Above 40"))</f>
        <v>Above 40</v>
      </c>
      <c r="O114">
        <f>YEAR(HR_Table[[#This Row],[Joining_Date]])</f>
        <v>2016</v>
      </c>
    </row>
    <row r="115" spans="1:15" x14ac:dyDescent="0.3">
      <c r="A115" t="s">
        <v>125</v>
      </c>
      <c r="B115" t="s">
        <v>313</v>
      </c>
      <c r="C115">
        <v>25</v>
      </c>
      <c r="D115" t="s">
        <v>317</v>
      </c>
      <c r="E115" t="s">
        <v>322</v>
      </c>
      <c r="F115" t="s">
        <v>324</v>
      </c>
      <c r="G115">
        <v>37439</v>
      </c>
      <c r="H115" s="1">
        <v>44600</v>
      </c>
      <c r="J115">
        <v>1</v>
      </c>
      <c r="K115" t="s">
        <v>326</v>
      </c>
      <c r="L115" t="s">
        <v>329</v>
      </c>
      <c r="M115">
        <f ca="1">IF(HR_Table[[#This Row],[Exit_Date]]="",DATEDIF(HR_Table[[#This Row],[Joining_Date]],TODAY(),"Y"),DATEDIF(HR_Table[[#This Row],[Joining_Date]],HR_Table[[#This Row],[Exit_Date]],"Y"))</f>
        <v>4</v>
      </c>
      <c r="N115" t="str">
        <f>IF(HR_Table[[#This Row],[Age]]&lt;30,"Under 30",IF(HR_Table[[#This Row],[Age]]&lt;=40,"30-40","Above 40"))</f>
        <v>Under 30</v>
      </c>
      <c r="O115">
        <f>YEAR(HR_Table[[#This Row],[Joining_Date]])</f>
        <v>2022</v>
      </c>
    </row>
    <row r="116" spans="1:15" x14ac:dyDescent="0.3">
      <c r="A116" t="s">
        <v>126</v>
      </c>
      <c r="B116" t="s">
        <v>312</v>
      </c>
      <c r="C116">
        <v>25</v>
      </c>
      <c r="D116" t="s">
        <v>314</v>
      </c>
      <c r="E116" t="s">
        <v>320</v>
      </c>
      <c r="F116" t="s">
        <v>323</v>
      </c>
      <c r="G116">
        <v>89803</v>
      </c>
      <c r="H116" s="1">
        <v>45084</v>
      </c>
      <c r="J116">
        <v>2</v>
      </c>
      <c r="K116" t="s">
        <v>327</v>
      </c>
      <c r="L116" t="s">
        <v>329</v>
      </c>
      <c r="M116">
        <f ca="1">IF(HR_Table[[#This Row],[Exit_Date]]="",DATEDIF(HR_Table[[#This Row],[Joining_Date]],TODAY(),"Y"),DATEDIF(HR_Table[[#This Row],[Joining_Date]],HR_Table[[#This Row],[Exit_Date]],"Y"))</f>
        <v>2</v>
      </c>
      <c r="N116" t="str">
        <f>IF(HR_Table[[#This Row],[Age]]&lt;30,"Under 30",IF(HR_Table[[#This Row],[Age]]&lt;=40,"30-40","Above 40"))</f>
        <v>Under 30</v>
      </c>
      <c r="O116">
        <f>YEAR(HR_Table[[#This Row],[Joining_Date]])</f>
        <v>2023</v>
      </c>
    </row>
    <row r="117" spans="1:15" x14ac:dyDescent="0.3">
      <c r="A117" t="s">
        <v>127</v>
      </c>
      <c r="B117" t="s">
        <v>312</v>
      </c>
      <c r="C117">
        <v>43</v>
      </c>
      <c r="D117" t="s">
        <v>314</v>
      </c>
      <c r="E117" t="s">
        <v>319</v>
      </c>
      <c r="F117" t="s">
        <v>323</v>
      </c>
      <c r="G117">
        <v>43171</v>
      </c>
      <c r="H117" s="1">
        <v>44640</v>
      </c>
      <c r="I117" s="1">
        <v>45382</v>
      </c>
      <c r="J117">
        <v>2</v>
      </c>
      <c r="K117" t="s">
        <v>327</v>
      </c>
      <c r="L117" t="s">
        <v>330</v>
      </c>
      <c r="M117">
        <f ca="1">IF(HR_Table[[#This Row],[Exit_Date]]="",DATEDIF(HR_Table[[#This Row],[Joining_Date]],TODAY(),"Y"),DATEDIF(HR_Table[[#This Row],[Joining_Date]],HR_Table[[#This Row],[Exit_Date]],"Y"))</f>
        <v>2</v>
      </c>
      <c r="N117" t="str">
        <f>IF(HR_Table[[#This Row],[Age]]&lt;30,"Under 30",IF(HR_Table[[#This Row],[Age]]&lt;=40,"30-40","Above 40"))</f>
        <v>Above 40</v>
      </c>
      <c r="O117">
        <f>YEAR(HR_Table[[#This Row],[Joining_Date]])</f>
        <v>2022</v>
      </c>
    </row>
    <row r="118" spans="1:15" x14ac:dyDescent="0.3">
      <c r="A118" t="s">
        <v>128</v>
      </c>
      <c r="B118" t="s">
        <v>312</v>
      </c>
      <c r="C118">
        <v>23</v>
      </c>
      <c r="D118" t="s">
        <v>315</v>
      </c>
      <c r="E118" t="s">
        <v>319</v>
      </c>
      <c r="F118" t="s">
        <v>323</v>
      </c>
      <c r="G118">
        <v>48477</v>
      </c>
      <c r="H118" s="1">
        <v>43396</v>
      </c>
      <c r="J118">
        <v>2</v>
      </c>
      <c r="K118" t="s">
        <v>328</v>
      </c>
      <c r="L118" t="s">
        <v>329</v>
      </c>
      <c r="M118">
        <f ca="1">IF(HR_Table[[#This Row],[Exit_Date]]="",DATEDIF(HR_Table[[#This Row],[Joining_Date]],TODAY(),"Y"),DATEDIF(HR_Table[[#This Row],[Joining_Date]],HR_Table[[#This Row],[Exit_Date]],"Y"))</f>
        <v>7</v>
      </c>
      <c r="N118" t="str">
        <f>IF(HR_Table[[#This Row],[Age]]&lt;30,"Under 30",IF(HR_Table[[#This Row],[Age]]&lt;=40,"30-40","Above 40"))</f>
        <v>Under 30</v>
      </c>
      <c r="O118">
        <f>YEAR(HR_Table[[#This Row],[Joining_Date]])</f>
        <v>2018</v>
      </c>
    </row>
    <row r="119" spans="1:15" x14ac:dyDescent="0.3">
      <c r="A119" t="s">
        <v>129</v>
      </c>
      <c r="B119" t="s">
        <v>312</v>
      </c>
      <c r="C119">
        <v>48</v>
      </c>
      <c r="D119" t="s">
        <v>314</v>
      </c>
      <c r="E119" t="s">
        <v>319</v>
      </c>
      <c r="F119" t="s">
        <v>323</v>
      </c>
      <c r="G119">
        <v>56211</v>
      </c>
      <c r="H119" s="1">
        <v>43083</v>
      </c>
      <c r="J119">
        <v>4</v>
      </c>
      <c r="K119" t="s">
        <v>328</v>
      </c>
      <c r="L119" t="s">
        <v>329</v>
      </c>
      <c r="M119">
        <f ca="1">IF(HR_Table[[#This Row],[Exit_Date]]="",DATEDIF(HR_Table[[#This Row],[Joining_Date]],TODAY(),"Y"),DATEDIF(HR_Table[[#This Row],[Joining_Date]],HR_Table[[#This Row],[Exit_Date]],"Y"))</f>
        <v>8</v>
      </c>
      <c r="N119" t="str">
        <f>IF(HR_Table[[#This Row],[Age]]&lt;30,"Under 30",IF(HR_Table[[#This Row],[Age]]&lt;=40,"30-40","Above 40"))</f>
        <v>Above 40</v>
      </c>
      <c r="O119">
        <f>YEAR(HR_Table[[#This Row],[Joining_Date]])</f>
        <v>2017</v>
      </c>
    </row>
    <row r="120" spans="1:15" x14ac:dyDescent="0.3">
      <c r="A120" t="s">
        <v>130</v>
      </c>
      <c r="B120" t="s">
        <v>312</v>
      </c>
      <c r="C120">
        <v>24</v>
      </c>
      <c r="D120" t="s">
        <v>315</v>
      </c>
      <c r="E120" t="s">
        <v>320</v>
      </c>
      <c r="F120" t="s">
        <v>324</v>
      </c>
      <c r="G120">
        <v>67161</v>
      </c>
      <c r="H120" s="1">
        <v>44801</v>
      </c>
      <c r="J120">
        <v>1</v>
      </c>
      <c r="K120" t="s">
        <v>325</v>
      </c>
      <c r="L120" t="s">
        <v>329</v>
      </c>
      <c r="M120">
        <f ca="1">IF(HR_Table[[#This Row],[Exit_Date]]="",DATEDIF(HR_Table[[#This Row],[Joining_Date]],TODAY(),"Y"),DATEDIF(HR_Table[[#This Row],[Joining_Date]],HR_Table[[#This Row],[Exit_Date]],"Y"))</f>
        <v>3</v>
      </c>
      <c r="N120" t="str">
        <f>IF(HR_Table[[#This Row],[Age]]&lt;30,"Under 30",IF(HR_Table[[#This Row],[Age]]&lt;=40,"30-40","Above 40"))</f>
        <v>Under 30</v>
      </c>
      <c r="O120">
        <f>YEAR(HR_Table[[#This Row],[Joining_Date]])</f>
        <v>2022</v>
      </c>
    </row>
    <row r="121" spans="1:15" x14ac:dyDescent="0.3">
      <c r="A121" t="s">
        <v>131</v>
      </c>
      <c r="B121" t="s">
        <v>312</v>
      </c>
      <c r="C121">
        <v>53</v>
      </c>
      <c r="D121" t="s">
        <v>318</v>
      </c>
      <c r="E121" t="s">
        <v>320</v>
      </c>
      <c r="F121" t="s">
        <v>323</v>
      </c>
      <c r="G121">
        <v>83934</v>
      </c>
      <c r="H121" s="1">
        <v>44015</v>
      </c>
      <c r="J121">
        <v>1</v>
      </c>
      <c r="K121" t="s">
        <v>328</v>
      </c>
      <c r="L121" t="s">
        <v>329</v>
      </c>
      <c r="M121">
        <f ca="1">IF(HR_Table[[#This Row],[Exit_Date]]="",DATEDIF(HR_Table[[#This Row],[Joining_Date]],TODAY(),"Y"),DATEDIF(HR_Table[[#This Row],[Joining_Date]],HR_Table[[#This Row],[Exit_Date]],"Y"))</f>
        <v>5</v>
      </c>
      <c r="N121" t="str">
        <f>IF(HR_Table[[#This Row],[Age]]&lt;30,"Under 30",IF(HR_Table[[#This Row],[Age]]&lt;=40,"30-40","Above 40"))</f>
        <v>Above 40</v>
      </c>
      <c r="O121">
        <f>YEAR(HR_Table[[#This Row],[Joining_Date]])</f>
        <v>2020</v>
      </c>
    </row>
    <row r="122" spans="1:15" x14ac:dyDescent="0.3">
      <c r="A122" t="s">
        <v>132</v>
      </c>
      <c r="B122" t="s">
        <v>313</v>
      </c>
      <c r="C122">
        <v>46</v>
      </c>
      <c r="D122" t="s">
        <v>315</v>
      </c>
      <c r="E122" t="s">
        <v>320</v>
      </c>
      <c r="F122" t="s">
        <v>324</v>
      </c>
      <c r="G122">
        <v>58131</v>
      </c>
      <c r="H122" s="1">
        <v>42977</v>
      </c>
      <c r="I122" s="1">
        <v>43840</v>
      </c>
      <c r="J122">
        <v>5</v>
      </c>
      <c r="K122" t="s">
        <v>326</v>
      </c>
      <c r="L122" t="s">
        <v>330</v>
      </c>
      <c r="M122">
        <f ca="1">IF(HR_Table[[#This Row],[Exit_Date]]="",DATEDIF(HR_Table[[#This Row],[Joining_Date]],TODAY(),"Y"),DATEDIF(HR_Table[[#This Row],[Joining_Date]],HR_Table[[#This Row],[Exit_Date]],"Y"))</f>
        <v>2</v>
      </c>
      <c r="N122" t="str">
        <f>IF(HR_Table[[#This Row],[Age]]&lt;30,"Under 30",IF(HR_Table[[#This Row],[Age]]&lt;=40,"30-40","Above 40"))</f>
        <v>Above 40</v>
      </c>
      <c r="O122">
        <f>YEAR(HR_Table[[#This Row],[Joining_Date]])</f>
        <v>2017</v>
      </c>
    </row>
    <row r="123" spans="1:15" x14ac:dyDescent="0.3">
      <c r="A123" t="s">
        <v>133</v>
      </c>
      <c r="B123" t="s">
        <v>312</v>
      </c>
      <c r="C123">
        <v>49</v>
      </c>
      <c r="D123" t="s">
        <v>314</v>
      </c>
      <c r="E123" t="s">
        <v>320</v>
      </c>
      <c r="F123" t="s">
        <v>323</v>
      </c>
      <c r="G123">
        <v>52119</v>
      </c>
      <c r="H123" s="1">
        <v>45244</v>
      </c>
      <c r="J123">
        <v>3</v>
      </c>
      <c r="K123" t="s">
        <v>326</v>
      </c>
      <c r="L123" t="s">
        <v>329</v>
      </c>
      <c r="M123">
        <f ca="1">IF(HR_Table[[#This Row],[Exit_Date]]="",DATEDIF(HR_Table[[#This Row],[Joining_Date]],TODAY(),"Y"),DATEDIF(HR_Table[[#This Row],[Joining_Date]],HR_Table[[#This Row],[Exit_Date]],"Y"))</f>
        <v>2</v>
      </c>
      <c r="N123" t="str">
        <f>IF(HR_Table[[#This Row],[Age]]&lt;30,"Under 30",IF(HR_Table[[#This Row],[Age]]&lt;=40,"30-40","Above 40"))</f>
        <v>Above 40</v>
      </c>
      <c r="O123">
        <f>YEAR(HR_Table[[#This Row],[Joining_Date]])</f>
        <v>2023</v>
      </c>
    </row>
    <row r="124" spans="1:15" x14ac:dyDescent="0.3">
      <c r="A124" t="s">
        <v>134</v>
      </c>
      <c r="B124" t="s">
        <v>313</v>
      </c>
      <c r="C124">
        <v>49</v>
      </c>
      <c r="D124" t="s">
        <v>318</v>
      </c>
      <c r="E124" t="s">
        <v>320</v>
      </c>
      <c r="F124" t="s">
        <v>324</v>
      </c>
      <c r="G124">
        <v>49530</v>
      </c>
      <c r="H124" s="1">
        <v>44073</v>
      </c>
      <c r="J124">
        <v>2</v>
      </c>
      <c r="K124" t="s">
        <v>326</v>
      </c>
      <c r="L124" t="s">
        <v>329</v>
      </c>
      <c r="M124">
        <f ca="1">IF(HR_Table[[#This Row],[Exit_Date]]="",DATEDIF(HR_Table[[#This Row],[Joining_Date]],TODAY(),"Y"),DATEDIF(HR_Table[[#This Row],[Joining_Date]],HR_Table[[#This Row],[Exit_Date]],"Y"))</f>
        <v>5</v>
      </c>
      <c r="N124" t="str">
        <f>IF(HR_Table[[#This Row],[Age]]&lt;30,"Under 30",IF(HR_Table[[#This Row],[Age]]&lt;=40,"30-40","Above 40"))</f>
        <v>Above 40</v>
      </c>
      <c r="O124">
        <f>YEAR(HR_Table[[#This Row],[Joining_Date]])</f>
        <v>2020</v>
      </c>
    </row>
    <row r="125" spans="1:15" x14ac:dyDescent="0.3">
      <c r="A125" t="s">
        <v>135</v>
      </c>
      <c r="B125" t="s">
        <v>312</v>
      </c>
      <c r="C125">
        <v>49</v>
      </c>
      <c r="D125" t="s">
        <v>314</v>
      </c>
      <c r="E125" t="s">
        <v>319</v>
      </c>
      <c r="F125" t="s">
        <v>324</v>
      </c>
      <c r="G125">
        <v>78200</v>
      </c>
      <c r="H125" s="1">
        <v>42743</v>
      </c>
      <c r="J125">
        <v>2</v>
      </c>
      <c r="K125" t="s">
        <v>325</v>
      </c>
      <c r="L125" t="s">
        <v>329</v>
      </c>
      <c r="M125">
        <f ca="1">IF(HR_Table[[#This Row],[Exit_Date]]="",DATEDIF(HR_Table[[#This Row],[Joining_Date]],TODAY(),"Y"),DATEDIF(HR_Table[[#This Row],[Joining_Date]],HR_Table[[#This Row],[Exit_Date]],"Y"))</f>
        <v>9</v>
      </c>
      <c r="N125" t="str">
        <f>IF(HR_Table[[#This Row],[Age]]&lt;30,"Under 30",IF(HR_Table[[#This Row],[Age]]&lt;=40,"30-40","Above 40"))</f>
        <v>Above 40</v>
      </c>
      <c r="O125">
        <f>YEAR(HR_Table[[#This Row],[Joining_Date]])</f>
        <v>2017</v>
      </c>
    </row>
    <row r="126" spans="1:15" x14ac:dyDescent="0.3">
      <c r="A126" t="s">
        <v>136</v>
      </c>
      <c r="B126" t="s">
        <v>312</v>
      </c>
      <c r="C126">
        <v>48</v>
      </c>
      <c r="D126" t="s">
        <v>315</v>
      </c>
      <c r="E126" t="s">
        <v>320</v>
      </c>
      <c r="F126" t="s">
        <v>324</v>
      </c>
      <c r="G126">
        <v>81891</v>
      </c>
      <c r="H126" s="1">
        <v>44670</v>
      </c>
      <c r="J126">
        <v>1</v>
      </c>
      <c r="K126" t="s">
        <v>328</v>
      </c>
      <c r="L126" t="s">
        <v>329</v>
      </c>
      <c r="M126">
        <f ca="1">IF(HR_Table[[#This Row],[Exit_Date]]="",DATEDIF(HR_Table[[#This Row],[Joining_Date]],TODAY(),"Y"),DATEDIF(HR_Table[[#This Row],[Joining_Date]],HR_Table[[#This Row],[Exit_Date]],"Y"))</f>
        <v>3</v>
      </c>
      <c r="N126" t="str">
        <f>IF(HR_Table[[#This Row],[Age]]&lt;30,"Under 30",IF(HR_Table[[#This Row],[Age]]&lt;=40,"30-40","Above 40"))</f>
        <v>Above 40</v>
      </c>
      <c r="O126">
        <f>YEAR(HR_Table[[#This Row],[Joining_Date]])</f>
        <v>2022</v>
      </c>
    </row>
    <row r="127" spans="1:15" x14ac:dyDescent="0.3">
      <c r="A127" t="s">
        <v>137</v>
      </c>
      <c r="B127" t="s">
        <v>312</v>
      </c>
      <c r="C127">
        <v>31</v>
      </c>
      <c r="D127" t="s">
        <v>315</v>
      </c>
      <c r="E127" t="s">
        <v>320</v>
      </c>
      <c r="F127" t="s">
        <v>323</v>
      </c>
      <c r="G127">
        <v>80527</v>
      </c>
      <c r="H127" s="1">
        <v>43649</v>
      </c>
      <c r="J127">
        <v>1</v>
      </c>
      <c r="K127" t="s">
        <v>328</v>
      </c>
      <c r="L127" t="s">
        <v>329</v>
      </c>
      <c r="M127">
        <f ca="1">IF(HR_Table[[#This Row],[Exit_Date]]="",DATEDIF(HR_Table[[#This Row],[Joining_Date]],TODAY(),"Y"),DATEDIF(HR_Table[[#This Row],[Joining_Date]],HR_Table[[#This Row],[Exit_Date]],"Y"))</f>
        <v>6</v>
      </c>
      <c r="N127" t="str">
        <f>IF(HR_Table[[#This Row],[Age]]&lt;30,"Under 30",IF(HR_Table[[#This Row],[Age]]&lt;=40,"30-40","Above 40"))</f>
        <v>30-40</v>
      </c>
      <c r="O127">
        <f>YEAR(HR_Table[[#This Row],[Joining_Date]])</f>
        <v>2019</v>
      </c>
    </row>
    <row r="128" spans="1:15" x14ac:dyDescent="0.3">
      <c r="A128" t="s">
        <v>138</v>
      </c>
      <c r="B128" t="s">
        <v>312</v>
      </c>
      <c r="C128">
        <v>49</v>
      </c>
      <c r="D128" t="s">
        <v>315</v>
      </c>
      <c r="E128" t="s">
        <v>319</v>
      </c>
      <c r="F128" t="s">
        <v>324</v>
      </c>
      <c r="G128">
        <v>26897</v>
      </c>
      <c r="H128" s="1">
        <v>43875</v>
      </c>
      <c r="I128" s="1">
        <v>44745</v>
      </c>
      <c r="J128">
        <v>2</v>
      </c>
      <c r="K128" t="s">
        <v>328</v>
      </c>
      <c r="L128" t="s">
        <v>330</v>
      </c>
      <c r="M128">
        <f ca="1">IF(HR_Table[[#This Row],[Exit_Date]]="",DATEDIF(HR_Table[[#This Row],[Joining_Date]],TODAY(),"Y"),DATEDIF(HR_Table[[#This Row],[Joining_Date]],HR_Table[[#This Row],[Exit_Date]],"Y"))</f>
        <v>2</v>
      </c>
      <c r="N128" t="str">
        <f>IF(HR_Table[[#This Row],[Age]]&lt;30,"Under 30",IF(HR_Table[[#This Row],[Age]]&lt;=40,"30-40","Above 40"))</f>
        <v>Above 40</v>
      </c>
      <c r="O128">
        <f>YEAR(HR_Table[[#This Row],[Joining_Date]])</f>
        <v>2020</v>
      </c>
    </row>
    <row r="129" spans="1:15" x14ac:dyDescent="0.3">
      <c r="A129" t="s">
        <v>139</v>
      </c>
      <c r="B129" t="s">
        <v>312</v>
      </c>
      <c r="C129">
        <v>31</v>
      </c>
      <c r="D129" t="s">
        <v>317</v>
      </c>
      <c r="E129" t="s">
        <v>320</v>
      </c>
      <c r="F129" t="s">
        <v>324</v>
      </c>
      <c r="G129">
        <v>29560</v>
      </c>
      <c r="H129" s="1">
        <v>43761</v>
      </c>
      <c r="J129">
        <v>2</v>
      </c>
      <c r="K129" t="s">
        <v>325</v>
      </c>
      <c r="L129" t="s">
        <v>329</v>
      </c>
      <c r="M129">
        <f ca="1">IF(HR_Table[[#This Row],[Exit_Date]]="",DATEDIF(HR_Table[[#This Row],[Joining_Date]],TODAY(),"Y"),DATEDIF(HR_Table[[#This Row],[Joining_Date]],HR_Table[[#This Row],[Exit_Date]],"Y"))</f>
        <v>6</v>
      </c>
      <c r="N129" t="str">
        <f>IF(HR_Table[[#This Row],[Age]]&lt;30,"Under 30",IF(HR_Table[[#This Row],[Age]]&lt;=40,"30-40","Above 40"))</f>
        <v>30-40</v>
      </c>
      <c r="O129">
        <f>YEAR(HR_Table[[#This Row],[Joining_Date]])</f>
        <v>2019</v>
      </c>
    </row>
    <row r="130" spans="1:15" x14ac:dyDescent="0.3">
      <c r="A130" t="s">
        <v>140</v>
      </c>
      <c r="B130" t="s">
        <v>313</v>
      </c>
      <c r="C130">
        <v>43</v>
      </c>
      <c r="D130" t="s">
        <v>314</v>
      </c>
      <c r="E130" t="s">
        <v>319</v>
      </c>
      <c r="F130" t="s">
        <v>324</v>
      </c>
      <c r="G130">
        <v>45423</v>
      </c>
      <c r="H130" s="1">
        <v>44542</v>
      </c>
      <c r="J130">
        <v>3</v>
      </c>
      <c r="K130" t="s">
        <v>325</v>
      </c>
      <c r="L130" t="s">
        <v>329</v>
      </c>
      <c r="M130">
        <f ca="1">IF(HR_Table[[#This Row],[Exit_Date]]="",DATEDIF(HR_Table[[#This Row],[Joining_Date]],TODAY(),"Y"),DATEDIF(HR_Table[[#This Row],[Joining_Date]],HR_Table[[#This Row],[Exit_Date]],"Y"))</f>
        <v>4</v>
      </c>
      <c r="N130" t="str">
        <f>IF(HR_Table[[#This Row],[Age]]&lt;30,"Under 30",IF(HR_Table[[#This Row],[Age]]&lt;=40,"30-40","Above 40"))</f>
        <v>Above 40</v>
      </c>
      <c r="O130">
        <f>YEAR(HR_Table[[#This Row],[Joining_Date]])</f>
        <v>2021</v>
      </c>
    </row>
    <row r="131" spans="1:15" x14ac:dyDescent="0.3">
      <c r="A131" t="s">
        <v>141</v>
      </c>
      <c r="B131" t="s">
        <v>312</v>
      </c>
      <c r="C131">
        <v>27</v>
      </c>
      <c r="D131" t="s">
        <v>314</v>
      </c>
      <c r="E131" t="s">
        <v>320</v>
      </c>
      <c r="F131" t="s">
        <v>324</v>
      </c>
      <c r="G131">
        <v>68380</v>
      </c>
      <c r="H131" s="1">
        <v>43007</v>
      </c>
      <c r="I131" s="1">
        <v>44572</v>
      </c>
      <c r="J131">
        <v>4</v>
      </c>
      <c r="K131" t="s">
        <v>326</v>
      </c>
      <c r="L131" t="s">
        <v>330</v>
      </c>
      <c r="M131">
        <f ca="1">IF(HR_Table[[#This Row],[Exit_Date]]="",DATEDIF(HR_Table[[#This Row],[Joining_Date]],TODAY(),"Y"),DATEDIF(HR_Table[[#This Row],[Joining_Date]],HR_Table[[#This Row],[Exit_Date]],"Y"))</f>
        <v>4</v>
      </c>
      <c r="N131" t="str">
        <f>IF(HR_Table[[#This Row],[Age]]&lt;30,"Under 30",IF(HR_Table[[#This Row],[Age]]&lt;=40,"30-40","Above 40"))</f>
        <v>Under 30</v>
      </c>
      <c r="O131">
        <f>YEAR(HR_Table[[#This Row],[Joining_Date]])</f>
        <v>2017</v>
      </c>
    </row>
    <row r="132" spans="1:15" x14ac:dyDescent="0.3">
      <c r="A132" t="s">
        <v>142</v>
      </c>
      <c r="B132" t="s">
        <v>312</v>
      </c>
      <c r="C132">
        <v>54</v>
      </c>
      <c r="D132" t="s">
        <v>315</v>
      </c>
      <c r="E132" t="s">
        <v>319</v>
      </c>
      <c r="F132" t="s">
        <v>324</v>
      </c>
      <c r="G132">
        <v>53174</v>
      </c>
      <c r="H132" s="1">
        <v>44180</v>
      </c>
      <c r="J132">
        <v>1</v>
      </c>
      <c r="K132" t="s">
        <v>328</v>
      </c>
      <c r="L132" t="s">
        <v>329</v>
      </c>
      <c r="M132">
        <f ca="1">IF(HR_Table[[#This Row],[Exit_Date]]="",DATEDIF(HR_Table[[#This Row],[Joining_Date]],TODAY(),"Y"),DATEDIF(HR_Table[[#This Row],[Joining_Date]],HR_Table[[#This Row],[Exit_Date]],"Y"))</f>
        <v>5</v>
      </c>
      <c r="N132" t="str">
        <f>IF(HR_Table[[#This Row],[Age]]&lt;30,"Under 30",IF(HR_Table[[#This Row],[Age]]&lt;=40,"30-40","Above 40"))</f>
        <v>Above 40</v>
      </c>
      <c r="O132">
        <f>YEAR(HR_Table[[#This Row],[Joining_Date]])</f>
        <v>2020</v>
      </c>
    </row>
    <row r="133" spans="1:15" x14ac:dyDescent="0.3">
      <c r="A133" t="s">
        <v>143</v>
      </c>
      <c r="B133" t="s">
        <v>313</v>
      </c>
      <c r="C133">
        <v>24</v>
      </c>
      <c r="D133" t="s">
        <v>315</v>
      </c>
      <c r="E133" t="s">
        <v>319</v>
      </c>
      <c r="F133" t="s">
        <v>324</v>
      </c>
      <c r="G133">
        <v>89516</v>
      </c>
      <c r="H133" s="1">
        <v>44363</v>
      </c>
      <c r="J133">
        <v>5</v>
      </c>
      <c r="K133" t="s">
        <v>325</v>
      </c>
      <c r="L133" t="s">
        <v>329</v>
      </c>
      <c r="M133">
        <f ca="1">IF(HR_Table[[#This Row],[Exit_Date]]="",DATEDIF(HR_Table[[#This Row],[Joining_Date]],TODAY(),"Y"),DATEDIF(HR_Table[[#This Row],[Joining_Date]],HR_Table[[#This Row],[Exit_Date]],"Y"))</f>
        <v>4</v>
      </c>
      <c r="N133" t="str">
        <f>IF(HR_Table[[#This Row],[Age]]&lt;30,"Under 30",IF(HR_Table[[#This Row],[Age]]&lt;=40,"30-40","Above 40"))</f>
        <v>Under 30</v>
      </c>
      <c r="O133">
        <f>YEAR(HR_Table[[#This Row],[Joining_Date]])</f>
        <v>2021</v>
      </c>
    </row>
    <row r="134" spans="1:15" x14ac:dyDescent="0.3">
      <c r="A134" t="s">
        <v>144</v>
      </c>
      <c r="B134" t="s">
        <v>312</v>
      </c>
      <c r="C134">
        <v>30</v>
      </c>
      <c r="D134" t="s">
        <v>314</v>
      </c>
      <c r="E134" t="s">
        <v>320</v>
      </c>
      <c r="F134" t="s">
        <v>324</v>
      </c>
      <c r="G134">
        <v>46503</v>
      </c>
      <c r="H134" s="1">
        <v>43207</v>
      </c>
      <c r="J134">
        <v>1</v>
      </c>
      <c r="K134" t="s">
        <v>325</v>
      </c>
      <c r="L134" t="s">
        <v>329</v>
      </c>
      <c r="M134">
        <f ca="1">IF(HR_Table[[#This Row],[Exit_Date]]="",DATEDIF(HR_Table[[#This Row],[Joining_Date]],TODAY(),"Y"),DATEDIF(HR_Table[[#This Row],[Joining_Date]],HR_Table[[#This Row],[Exit_Date]],"Y"))</f>
        <v>7</v>
      </c>
      <c r="N134" t="str">
        <f>IF(HR_Table[[#This Row],[Age]]&lt;30,"Under 30",IF(HR_Table[[#This Row],[Age]]&lt;=40,"30-40","Above 40"))</f>
        <v>30-40</v>
      </c>
      <c r="O134">
        <f>YEAR(HR_Table[[#This Row],[Joining_Date]])</f>
        <v>2018</v>
      </c>
    </row>
    <row r="135" spans="1:15" x14ac:dyDescent="0.3">
      <c r="A135" t="s">
        <v>145</v>
      </c>
      <c r="B135" t="s">
        <v>312</v>
      </c>
      <c r="C135">
        <v>54</v>
      </c>
      <c r="D135" t="s">
        <v>318</v>
      </c>
      <c r="E135" t="s">
        <v>320</v>
      </c>
      <c r="F135" t="s">
        <v>323</v>
      </c>
      <c r="G135">
        <v>51022</v>
      </c>
      <c r="H135" s="1">
        <v>44133</v>
      </c>
      <c r="I135" s="1">
        <v>45211</v>
      </c>
      <c r="J135">
        <v>1</v>
      </c>
      <c r="K135" t="s">
        <v>326</v>
      </c>
      <c r="L135" t="s">
        <v>330</v>
      </c>
      <c r="M135">
        <f ca="1">IF(HR_Table[[#This Row],[Exit_Date]]="",DATEDIF(HR_Table[[#This Row],[Joining_Date]],TODAY(),"Y"),DATEDIF(HR_Table[[#This Row],[Joining_Date]],HR_Table[[#This Row],[Exit_Date]],"Y"))</f>
        <v>2</v>
      </c>
      <c r="N135" t="str">
        <f>IF(HR_Table[[#This Row],[Age]]&lt;30,"Under 30",IF(HR_Table[[#This Row],[Age]]&lt;=40,"30-40","Above 40"))</f>
        <v>Above 40</v>
      </c>
      <c r="O135">
        <f>YEAR(HR_Table[[#This Row],[Joining_Date]])</f>
        <v>2020</v>
      </c>
    </row>
    <row r="136" spans="1:15" x14ac:dyDescent="0.3">
      <c r="A136" t="s">
        <v>146</v>
      </c>
      <c r="B136" t="s">
        <v>313</v>
      </c>
      <c r="C136">
        <v>49</v>
      </c>
      <c r="D136" t="s">
        <v>314</v>
      </c>
      <c r="E136" t="s">
        <v>320</v>
      </c>
      <c r="F136" t="s">
        <v>324</v>
      </c>
      <c r="G136">
        <v>43973</v>
      </c>
      <c r="H136" s="1">
        <v>44253</v>
      </c>
      <c r="J136">
        <v>1</v>
      </c>
      <c r="K136" t="s">
        <v>326</v>
      </c>
      <c r="L136" t="s">
        <v>329</v>
      </c>
      <c r="M136">
        <f ca="1">IF(HR_Table[[#This Row],[Exit_Date]]="",DATEDIF(HR_Table[[#This Row],[Joining_Date]],TODAY(),"Y"),DATEDIF(HR_Table[[#This Row],[Joining_Date]],HR_Table[[#This Row],[Exit_Date]],"Y"))</f>
        <v>5</v>
      </c>
      <c r="N136" t="str">
        <f>IF(HR_Table[[#This Row],[Age]]&lt;30,"Under 30",IF(HR_Table[[#This Row],[Age]]&lt;=40,"30-40","Above 40"))</f>
        <v>Above 40</v>
      </c>
      <c r="O136">
        <f>YEAR(HR_Table[[#This Row],[Joining_Date]])</f>
        <v>2021</v>
      </c>
    </row>
    <row r="137" spans="1:15" x14ac:dyDescent="0.3">
      <c r="A137" t="s">
        <v>147</v>
      </c>
      <c r="B137" t="s">
        <v>313</v>
      </c>
      <c r="C137">
        <v>45</v>
      </c>
      <c r="D137" t="s">
        <v>314</v>
      </c>
      <c r="E137" t="s">
        <v>319</v>
      </c>
      <c r="F137" t="s">
        <v>324</v>
      </c>
      <c r="G137">
        <v>80344</v>
      </c>
      <c r="H137" s="1">
        <v>43700</v>
      </c>
      <c r="I137" s="1">
        <v>45265</v>
      </c>
      <c r="J137">
        <v>1</v>
      </c>
      <c r="K137" t="s">
        <v>327</v>
      </c>
      <c r="L137" t="s">
        <v>330</v>
      </c>
      <c r="M137">
        <f ca="1">IF(HR_Table[[#This Row],[Exit_Date]]="",DATEDIF(HR_Table[[#This Row],[Joining_Date]],TODAY(),"Y"),DATEDIF(HR_Table[[#This Row],[Joining_Date]],HR_Table[[#This Row],[Exit_Date]],"Y"))</f>
        <v>4</v>
      </c>
      <c r="N137" t="str">
        <f>IF(HR_Table[[#This Row],[Age]]&lt;30,"Under 30",IF(HR_Table[[#This Row],[Age]]&lt;=40,"30-40","Above 40"))</f>
        <v>Above 40</v>
      </c>
      <c r="O137">
        <f>YEAR(HR_Table[[#This Row],[Joining_Date]])</f>
        <v>2019</v>
      </c>
    </row>
    <row r="138" spans="1:15" x14ac:dyDescent="0.3">
      <c r="A138" t="s">
        <v>148</v>
      </c>
      <c r="B138" t="s">
        <v>312</v>
      </c>
      <c r="C138">
        <v>47</v>
      </c>
      <c r="D138" t="s">
        <v>318</v>
      </c>
      <c r="E138" t="s">
        <v>320</v>
      </c>
      <c r="F138" t="s">
        <v>324</v>
      </c>
      <c r="G138">
        <v>39520</v>
      </c>
      <c r="H138" s="1">
        <v>44782</v>
      </c>
      <c r="J138">
        <v>3</v>
      </c>
      <c r="K138" t="s">
        <v>327</v>
      </c>
      <c r="L138" t="s">
        <v>329</v>
      </c>
      <c r="M138">
        <f ca="1">IF(HR_Table[[#This Row],[Exit_Date]]="",DATEDIF(HR_Table[[#This Row],[Joining_Date]],TODAY(),"Y"),DATEDIF(HR_Table[[#This Row],[Joining_Date]],HR_Table[[#This Row],[Exit_Date]],"Y"))</f>
        <v>3</v>
      </c>
      <c r="N138" t="str">
        <f>IF(HR_Table[[#This Row],[Age]]&lt;30,"Under 30",IF(HR_Table[[#This Row],[Age]]&lt;=40,"30-40","Above 40"))</f>
        <v>Above 40</v>
      </c>
      <c r="O138">
        <f>YEAR(HR_Table[[#This Row],[Joining_Date]])</f>
        <v>2022</v>
      </c>
    </row>
    <row r="139" spans="1:15" x14ac:dyDescent="0.3">
      <c r="A139" t="s">
        <v>149</v>
      </c>
      <c r="B139" t="s">
        <v>312</v>
      </c>
      <c r="C139">
        <v>44</v>
      </c>
      <c r="D139" t="s">
        <v>314</v>
      </c>
      <c r="E139" t="s">
        <v>320</v>
      </c>
      <c r="F139" t="s">
        <v>323</v>
      </c>
      <c r="G139">
        <v>40484</v>
      </c>
      <c r="H139" s="1">
        <v>44460</v>
      </c>
      <c r="J139">
        <v>1</v>
      </c>
      <c r="K139" t="s">
        <v>327</v>
      </c>
      <c r="L139" t="s">
        <v>329</v>
      </c>
      <c r="M139">
        <f ca="1">IF(HR_Table[[#This Row],[Exit_Date]]="",DATEDIF(HR_Table[[#This Row],[Joining_Date]],TODAY(),"Y"),DATEDIF(HR_Table[[#This Row],[Joining_Date]],HR_Table[[#This Row],[Exit_Date]],"Y"))</f>
        <v>4</v>
      </c>
      <c r="N139" t="str">
        <f>IF(HR_Table[[#This Row],[Age]]&lt;30,"Under 30",IF(HR_Table[[#This Row],[Age]]&lt;=40,"30-40","Above 40"))</f>
        <v>Above 40</v>
      </c>
      <c r="O139">
        <f>YEAR(HR_Table[[#This Row],[Joining_Date]])</f>
        <v>2021</v>
      </c>
    </row>
    <row r="140" spans="1:15" x14ac:dyDescent="0.3">
      <c r="A140" t="s">
        <v>150</v>
      </c>
      <c r="B140" t="s">
        <v>312</v>
      </c>
      <c r="C140">
        <v>33</v>
      </c>
      <c r="D140" t="s">
        <v>317</v>
      </c>
      <c r="E140" t="s">
        <v>320</v>
      </c>
      <c r="F140" t="s">
        <v>324</v>
      </c>
      <c r="G140">
        <v>55405</v>
      </c>
      <c r="H140" s="1">
        <v>43178</v>
      </c>
      <c r="I140" s="1">
        <v>43791</v>
      </c>
      <c r="J140">
        <v>5</v>
      </c>
      <c r="K140" t="s">
        <v>326</v>
      </c>
      <c r="L140" t="s">
        <v>330</v>
      </c>
      <c r="M140">
        <f ca="1">IF(HR_Table[[#This Row],[Exit_Date]]="",DATEDIF(HR_Table[[#This Row],[Joining_Date]],TODAY(),"Y"),DATEDIF(HR_Table[[#This Row],[Joining_Date]],HR_Table[[#This Row],[Exit_Date]],"Y"))</f>
        <v>1</v>
      </c>
      <c r="N140" t="str">
        <f>IF(HR_Table[[#This Row],[Age]]&lt;30,"Under 30",IF(HR_Table[[#This Row],[Age]]&lt;=40,"30-40","Above 40"))</f>
        <v>30-40</v>
      </c>
      <c r="O140">
        <f>YEAR(HR_Table[[#This Row],[Joining_Date]])</f>
        <v>2018</v>
      </c>
    </row>
    <row r="141" spans="1:15" x14ac:dyDescent="0.3">
      <c r="A141" t="s">
        <v>151</v>
      </c>
      <c r="B141" t="s">
        <v>313</v>
      </c>
      <c r="C141">
        <v>42</v>
      </c>
      <c r="D141" t="s">
        <v>315</v>
      </c>
      <c r="E141" t="s">
        <v>319</v>
      </c>
      <c r="F141" t="s">
        <v>324</v>
      </c>
      <c r="G141">
        <v>29475</v>
      </c>
      <c r="H141" s="1">
        <v>45003</v>
      </c>
      <c r="J141">
        <v>4</v>
      </c>
      <c r="K141" t="s">
        <v>326</v>
      </c>
      <c r="L141" t="s">
        <v>329</v>
      </c>
      <c r="M141">
        <f ca="1">IF(HR_Table[[#This Row],[Exit_Date]]="",DATEDIF(HR_Table[[#This Row],[Joining_Date]],TODAY(),"Y"),DATEDIF(HR_Table[[#This Row],[Joining_Date]],HR_Table[[#This Row],[Exit_Date]],"Y"))</f>
        <v>2</v>
      </c>
      <c r="N141" t="str">
        <f>IF(HR_Table[[#This Row],[Age]]&lt;30,"Under 30",IF(HR_Table[[#This Row],[Age]]&lt;=40,"30-40","Above 40"))</f>
        <v>Above 40</v>
      </c>
      <c r="O141">
        <f>YEAR(HR_Table[[#This Row],[Joining_Date]])</f>
        <v>2023</v>
      </c>
    </row>
    <row r="142" spans="1:15" x14ac:dyDescent="0.3">
      <c r="A142" t="s">
        <v>152</v>
      </c>
      <c r="B142" t="s">
        <v>313</v>
      </c>
      <c r="C142">
        <v>54</v>
      </c>
      <c r="D142" t="s">
        <v>317</v>
      </c>
      <c r="E142" t="s">
        <v>321</v>
      </c>
      <c r="F142" t="s">
        <v>324</v>
      </c>
      <c r="G142">
        <v>55260</v>
      </c>
      <c r="H142" s="1">
        <v>43495</v>
      </c>
      <c r="J142">
        <v>4</v>
      </c>
      <c r="K142" t="s">
        <v>325</v>
      </c>
      <c r="L142" t="s">
        <v>329</v>
      </c>
      <c r="M142">
        <f ca="1">IF(HR_Table[[#This Row],[Exit_Date]]="",DATEDIF(HR_Table[[#This Row],[Joining_Date]],TODAY(),"Y"),DATEDIF(HR_Table[[#This Row],[Joining_Date]],HR_Table[[#This Row],[Exit_Date]],"Y"))</f>
        <v>7</v>
      </c>
      <c r="N142" t="str">
        <f>IF(HR_Table[[#This Row],[Age]]&lt;30,"Under 30",IF(HR_Table[[#This Row],[Age]]&lt;=40,"30-40","Above 40"))</f>
        <v>Above 40</v>
      </c>
      <c r="O142">
        <f>YEAR(HR_Table[[#This Row],[Joining_Date]])</f>
        <v>2019</v>
      </c>
    </row>
    <row r="143" spans="1:15" x14ac:dyDescent="0.3">
      <c r="A143" t="s">
        <v>153</v>
      </c>
      <c r="B143" t="s">
        <v>312</v>
      </c>
      <c r="C143">
        <v>27</v>
      </c>
      <c r="D143" t="s">
        <v>314</v>
      </c>
      <c r="E143" t="s">
        <v>320</v>
      </c>
      <c r="F143" t="s">
        <v>324</v>
      </c>
      <c r="G143">
        <v>63032</v>
      </c>
      <c r="H143" s="1">
        <v>43880</v>
      </c>
      <c r="J143">
        <v>5</v>
      </c>
      <c r="K143" t="s">
        <v>325</v>
      </c>
      <c r="L143" t="s">
        <v>329</v>
      </c>
      <c r="M143">
        <f ca="1">IF(HR_Table[[#This Row],[Exit_Date]]="",DATEDIF(HR_Table[[#This Row],[Joining_Date]],TODAY(),"Y"),DATEDIF(HR_Table[[#This Row],[Joining_Date]],HR_Table[[#This Row],[Exit_Date]],"Y"))</f>
        <v>6</v>
      </c>
      <c r="N143" t="str">
        <f>IF(HR_Table[[#This Row],[Age]]&lt;30,"Under 30",IF(HR_Table[[#This Row],[Age]]&lt;=40,"30-40","Above 40"))</f>
        <v>Under 30</v>
      </c>
      <c r="O143">
        <f>YEAR(HR_Table[[#This Row],[Joining_Date]])</f>
        <v>2020</v>
      </c>
    </row>
    <row r="144" spans="1:15" x14ac:dyDescent="0.3">
      <c r="A144" t="s">
        <v>154</v>
      </c>
      <c r="B144" t="s">
        <v>313</v>
      </c>
      <c r="C144">
        <v>52</v>
      </c>
      <c r="D144" t="s">
        <v>318</v>
      </c>
      <c r="E144" t="s">
        <v>321</v>
      </c>
      <c r="F144" t="s">
        <v>323</v>
      </c>
      <c r="G144">
        <v>54525</v>
      </c>
      <c r="H144" s="1">
        <v>44711</v>
      </c>
      <c r="J144">
        <v>1</v>
      </c>
      <c r="K144" t="s">
        <v>328</v>
      </c>
      <c r="L144" t="s">
        <v>329</v>
      </c>
      <c r="M144">
        <f ca="1">IF(HR_Table[[#This Row],[Exit_Date]]="",DATEDIF(HR_Table[[#This Row],[Joining_Date]],TODAY(),"Y"),DATEDIF(HR_Table[[#This Row],[Joining_Date]],HR_Table[[#This Row],[Exit_Date]],"Y"))</f>
        <v>3</v>
      </c>
      <c r="N144" t="str">
        <f>IF(HR_Table[[#This Row],[Age]]&lt;30,"Under 30",IF(HR_Table[[#This Row],[Age]]&lt;=40,"30-40","Above 40"))</f>
        <v>Above 40</v>
      </c>
      <c r="O144">
        <f>YEAR(HR_Table[[#This Row],[Joining_Date]])</f>
        <v>2022</v>
      </c>
    </row>
    <row r="145" spans="1:15" x14ac:dyDescent="0.3">
      <c r="A145" t="s">
        <v>155</v>
      </c>
      <c r="B145" t="s">
        <v>312</v>
      </c>
      <c r="C145">
        <v>37</v>
      </c>
      <c r="D145" t="s">
        <v>314</v>
      </c>
      <c r="E145" t="s">
        <v>320</v>
      </c>
      <c r="F145" t="s">
        <v>324</v>
      </c>
      <c r="G145">
        <v>59345</v>
      </c>
      <c r="H145" s="1">
        <v>44436</v>
      </c>
      <c r="J145">
        <v>5</v>
      </c>
      <c r="K145" t="s">
        <v>327</v>
      </c>
      <c r="L145" t="s">
        <v>329</v>
      </c>
      <c r="M145">
        <f ca="1">IF(HR_Table[[#This Row],[Exit_Date]]="",DATEDIF(HR_Table[[#This Row],[Joining_Date]],TODAY(),"Y"),DATEDIF(HR_Table[[#This Row],[Joining_Date]],HR_Table[[#This Row],[Exit_Date]],"Y"))</f>
        <v>4</v>
      </c>
      <c r="N145" t="str">
        <f>IF(HR_Table[[#This Row],[Age]]&lt;30,"Under 30",IF(HR_Table[[#This Row],[Age]]&lt;=40,"30-40","Above 40"))</f>
        <v>30-40</v>
      </c>
      <c r="O145">
        <f>YEAR(HR_Table[[#This Row],[Joining_Date]])</f>
        <v>2021</v>
      </c>
    </row>
    <row r="146" spans="1:15" x14ac:dyDescent="0.3">
      <c r="A146" t="s">
        <v>156</v>
      </c>
      <c r="B146" t="s">
        <v>313</v>
      </c>
      <c r="C146">
        <v>48</v>
      </c>
      <c r="D146" t="s">
        <v>317</v>
      </c>
      <c r="E146" t="s">
        <v>322</v>
      </c>
      <c r="F146" t="s">
        <v>323</v>
      </c>
      <c r="G146">
        <v>76722</v>
      </c>
      <c r="H146" s="1">
        <v>43897</v>
      </c>
      <c r="J146">
        <v>3</v>
      </c>
      <c r="K146" t="s">
        <v>325</v>
      </c>
      <c r="L146" t="s">
        <v>329</v>
      </c>
      <c r="M146">
        <f ca="1">IF(HR_Table[[#This Row],[Exit_Date]]="",DATEDIF(HR_Table[[#This Row],[Joining_Date]],TODAY(),"Y"),DATEDIF(HR_Table[[#This Row],[Joining_Date]],HR_Table[[#This Row],[Exit_Date]],"Y"))</f>
        <v>6</v>
      </c>
      <c r="N146" t="str">
        <f>IF(HR_Table[[#This Row],[Age]]&lt;30,"Under 30",IF(HR_Table[[#This Row],[Age]]&lt;=40,"30-40","Above 40"))</f>
        <v>Above 40</v>
      </c>
      <c r="O146">
        <f>YEAR(HR_Table[[#This Row],[Joining_Date]])</f>
        <v>2020</v>
      </c>
    </row>
    <row r="147" spans="1:15" x14ac:dyDescent="0.3">
      <c r="A147" t="s">
        <v>157</v>
      </c>
      <c r="B147" t="s">
        <v>313</v>
      </c>
      <c r="C147">
        <v>40</v>
      </c>
      <c r="D147" t="s">
        <v>317</v>
      </c>
      <c r="E147" t="s">
        <v>322</v>
      </c>
      <c r="F147" t="s">
        <v>323</v>
      </c>
      <c r="G147">
        <v>46847</v>
      </c>
      <c r="H147" s="1">
        <v>42757</v>
      </c>
      <c r="J147">
        <v>1</v>
      </c>
      <c r="K147" t="s">
        <v>327</v>
      </c>
      <c r="L147" t="s">
        <v>329</v>
      </c>
      <c r="M147">
        <f ca="1">IF(HR_Table[[#This Row],[Exit_Date]]="",DATEDIF(HR_Table[[#This Row],[Joining_Date]],TODAY(),"Y"),DATEDIF(HR_Table[[#This Row],[Joining_Date]],HR_Table[[#This Row],[Exit_Date]],"Y"))</f>
        <v>9</v>
      </c>
      <c r="N147" t="str">
        <f>IF(HR_Table[[#This Row],[Age]]&lt;30,"Under 30",IF(HR_Table[[#This Row],[Age]]&lt;=40,"30-40","Above 40"))</f>
        <v>30-40</v>
      </c>
      <c r="O147">
        <f>YEAR(HR_Table[[#This Row],[Joining_Date]])</f>
        <v>2017</v>
      </c>
    </row>
    <row r="148" spans="1:15" x14ac:dyDescent="0.3">
      <c r="A148" t="s">
        <v>158</v>
      </c>
      <c r="B148" t="s">
        <v>313</v>
      </c>
      <c r="C148">
        <v>30</v>
      </c>
      <c r="D148" t="s">
        <v>317</v>
      </c>
      <c r="E148" t="s">
        <v>320</v>
      </c>
      <c r="F148" t="s">
        <v>323</v>
      </c>
      <c r="G148">
        <v>45288</v>
      </c>
      <c r="H148" s="1">
        <v>43640</v>
      </c>
      <c r="J148">
        <v>5</v>
      </c>
      <c r="K148" t="s">
        <v>326</v>
      </c>
      <c r="L148" t="s">
        <v>329</v>
      </c>
      <c r="M148">
        <f ca="1">IF(HR_Table[[#This Row],[Exit_Date]]="",DATEDIF(HR_Table[[#This Row],[Joining_Date]],TODAY(),"Y"),DATEDIF(HR_Table[[#This Row],[Joining_Date]],HR_Table[[#This Row],[Exit_Date]],"Y"))</f>
        <v>6</v>
      </c>
      <c r="N148" t="str">
        <f>IF(HR_Table[[#This Row],[Age]]&lt;30,"Under 30",IF(HR_Table[[#This Row],[Age]]&lt;=40,"30-40","Above 40"))</f>
        <v>30-40</v>
      </c>
      <c r="O148">
        <f>YEAR(HR_Table[[#This Row],[Joining_Date]])</f>
        <v>2019</v>
      </c>
    </row>
    <row r="149" spans="1:15" x14ac:dyDescent="0.3">
      <c r="A149" t="s">
        <v>159</v>
      </c>
      <c r="B149" t="s">
        <v>312</v>
      </c>
      <c r="C149">
        <v>49</v>
      </c>
      <c r="D149" t="s">
        <v>317</v>
      </c>
      <c r="E149" t="s">
        <v>320</v>
      </c>
      <c r="F149" t="s">
        <v>324</v>
      </c>
      <c r="G149">
        <v>26194</v>
      </c>
      <c r="H149" s="1">
        <v>42893</v>
      </c>
      <c r="J149">
        <v>3</v>
      </c>
      <c r="K149" t="s">
        <v>328</v>
      </c>
      <c r="L149" t="s">
        <v>329</v>
      </c>
      <c r="M149">
        <f ca="1">IF(HR_Table[[#This Row],[Exit_Date]]="",DATEDIF(HR_Table[[#This Row],[Joining_Date]],TODAY(),"Y"),DATEDIF(HR_Table[[#This Row],[Joining_Date]],HR_Table[[#This Row],[Exit_Date]],"Y"))</f>
        <v>8</v>
      </c>
      <c r="N149" t="str">
        <f>IF(HR_Table[[#This Row],[Age]]&lt;30,"Under 30",IF(HR_Table[[#This Row],[Age]]&lt;=40,"30-40","Above 40"))</f>
        <v>Above 40</v>
      </c>
      <c r="O149">
        <f>YEAR(HR_Table[[#This Row],[Joining_Date]])</f>
        <v>2017</v>
      </c>
    </row>
    <row r="150" spans="1:15" x14ac:dyDescent="0.3">
      <c r="A150" t="s">
        <v>160</v>
      </c>
      <c r="B150" t="s">
        <v>313</v>
      </c>
      <c r="C150">
        <v>34</v>
      </c>
      <c r="D150" t="s">
        <v>316</v>
      </c>
      <c r="E150" t="s">
        <v>319</v>
      </c>
      <c r="F150" t="s">
        <v>323</v>
      </c>
      <c r="G150">
        <v>35154</v>
      </c>
      <c r="H150" s="1">
        <v>43247</v>
      </c>
      <c r="J150">
        <v>1</v>
      </c>
      <c r="K150" t="s">
        <v>328</v>
      </c>
      <c r="L150" t="s">
        <v>329</v>
      </c>
      <c r="M150">
        <f ca="1">IF(HR_Table[[#This Row],[Exit_Date]]="",DATEDIF(HR_Table[[#This Row],[Joining_Date]],TODAY(),"Y"),DATEDIF(HR_Table[[#This Row],[Joining_Date]],HR_Table[[#This Row],[Exit_Date]],"Y"))</f>
        <v>7</v>
      </c>
      <c r="N150" t="str">
        <f>IF(HR_Table[[#This Row],[Age]]&lt;30,"Under 30",IF(HR_Table[[#This Row],[Age]]&lt;=40,"30-40","Above 40"))</f>
        <v>30-40</v>
      </c>
      <c r="O150">
        <f>YEAR(HR_Table[[#This Row],[Joining_Date]])</f>
        <v>2018</v>
      </c>
    </row>
    <row r="151" spans="1:15" x14ac:dyDescent="0.3">
      <c r="A151" t="s">
        <v>161</v>
      </c>
      <c r="B151" t="s">
        <v>312</v>
      </c>
      <c r="C151">
        <v>43</v>
      </c>
      <c r="D151" t="s">
        <v>314</v>
      </c>
      <c r="E151" t="s">
        <v>319</v>
      </c>
      <c r="F151" t="s">
        <v>324</v>
      </c>
      <c r="G151">
        <v>35109</v>
      </c>
      <c r="H151" s="1">
        <v>44449</v>
      </c>
      <c r="J151">
        <v>2</v>
      </c>
      <c r="K151" t="s">
        <v>327</v>
      </c>
      <c r="L151" t="s">
        <v>329</v>
      </c>
      <c r="M151">
        <f ca="1">IF(HR_Table[[#This Row],[Exit_Date]]="",DATEDIF(HR_Table[[#This Row],[Joining_Date]],TODAY(),"Y"),DATEDIF(HR_Table[[#This Row],[Joining_Date]],HR_Table[[#This Row],[Exit_Date]],"Y"))</f>
        <v>4</v>
      </c>
      <c r="N151" t="str">
        <f>IF(HR_Table[[#This Row],[Age]]&lt;30,"Under 30",IF(HR_Table[[#This Row],[Age]]&lt;=40,"30-40","Above 40"))</f>
        <v>Above 40</v>
      </c>
      <c r="O151">
        <f>YEAR(HR_Table[[#This Row],[Joining_Date]])</f>
        <v>2021</v>
      </c>
    </row>
    <row r="152" spans="1:15" x14ac:dyDescent="0.3">
      <c r="A152" t="s">
        <v>162</v>
      </c>
      <c r="B152" t="s">
        <v>312</v>
      </c>
      <c r="C152">
        <v>48</v>
      </c>
      <c r="D152" t="s">
        <v>315</v>
      </c>
      <c r="E152" t="s">
        <v>320</v>
      </c>
      <c r="F152" t="s">
        <v>323</v>
      </c>
      <c r="G152">
        <v>88542</v>
      </c>
      <c r="H152" s="1">
        <v>43048</v>
      </c>
      <c r="J152">
        <v>4</v>
      </c>
      <c r="K152" t="s">
        <v>328</v>
      </c>
      <c r="L152" t="s">
        <v>329</v>
      </c>
      <c r="M152">
        <f ca="1">IF(HR_Table[[#This Row],[Exit_Date]]="",DATEDIF(HR_Table[[#This Row],[Joining_Date]],TODAY(),"Y"),DATEDIF(HR_Table[[#This Row],[Joining_Date]],HR_Table[[#This Row],[Exit_Date]],"Y"))</f>
        <v>8</v>
      </c>
      <c r="N152" t="str">
        <f>IF(HR_Table[[#This Row],[Age]]&lt;30,"Under 30",IF(HR_Table[[#This Row],[Age]]&lt;=40,"30-40","Above 40"))</f>
        <v>Above 40</v>
      </c>
      <c r="O152">
        <f>YEAR(HR_Table[[#This Row],[Joining_Date]])</f>
        <v>2017</v>
      </c>
    </row>
    <row r="153" spans="1:15" x14ac:dyDescent="0.3">
      <c r="A153" t="s">
        <v>163</v>
      </c>
      <c r="B153" t="s">
        <v>313</v>
      </c>
      <c r="C153">
        <v>52</v>
      </c>
      <c r="D153" t="s">
        <v>318</v>
      </c>
      <c r="E153" t="s">
        <v>321</v>
      </c>
      <c r="F153" t="s">
        <v>324</v>
      </c>
      <c r="G153">
        <v>69453</v>
      </c>
      <c r="H153" s="1">
        <v>43328</v>
      </c>
      <c r="J153">
        <v>5</v>
      </c>
      <c r="K153" t="s">
        <v>326</v>
      </c>
      <c r="L153" t="s">
        <v>329</v>
      </c>
      <c r="M153">
        <f ca="1">IF(HR_Table[[#This Row],[Exit_Date]]="",DATEDIF(HR_Table[[#This Row],[Joining_Date]],TODAY(),"Y"),DATEDIF(HR_Table[[#This Row],[Joining_Date]],HR_Table[[#This Row],[Exit_Date]],"Y"))</f>
        <v>7</v>
      </c>
      <c r="N153" t="str">
        <f>IF(HR_Table[[#This Row],[Age]]&lt;30,"Under 30",IF(HR_Table[[#This Row],[Age]]&lt;=40,"30-40","Above 40"))</f>
        <v>Above 40</v>
      </c>
      <c r="O153">
        <f>YEAR(HR_Table[[#This Row],[Joining_Date]])</f>
        <v>2018</v>
      </c>
    </row>
    <row r="154" spans="1:15" x14ac:dyDescent="0.3">
      <c r="A154" t="s">
        <v>164</v>
      </c>
      <c r="B154" t="s">
        <v>313</v>
      </c>
      <c r="C154">
        <v>32</v>
      </c>
      <c r="D154" t="s">
        <v>318</v>
      </c>
      <c r="E154" t="s">
        <v>321</v>
      </c>
      <c r="F154" t="s">
        <v>323</v>
      </c>
      <c r="G154">
        <v>82213</v>
      </c>
      <c r="H154" s="1">
        <v>43524</v>
      </c>
      <c r="J154">
        <v>3</v>
      </c>
      <c r="K154" t="s">
        <v>325</v>
      </c>
      <c r="L154" t="s">
        <v>329</v>
      </c>
      <c r="M154">
        <f ca="1">IF(HR_Table[[#This Row],[Exit_Date]]="",DATEDIF(HR_Table[[#This Row],[Joining_Date]],TODAY(),"Y"),DATEDIF(HR_Table[[#This Row],[Joining_Date]],HR_Table[[#This Row],[Exit_Date]],"Y"))</f>
        <v>7</v>
      </c>
      <c r="N154" t="str">
        <f>IF(HR_Table[[#This Row],[Age]]&lt;30,"Under 30",IF(HR_Table[[#This Row],[Age]]&lt;=40,"30-40","Above 40"))</f>
        <v>30-40</v>
      </c>
      <c r="O154">
        <f>YEAR(HR_Table[[#This Row],[Joining_Date]])</f>
        <v>2019</v>
      </c>
    </row>
    <row r="155" spans="1:15" x14ac:dyDescent="0.3">
      <c r="A155" t="s">
        <v>165</v>
      </c>
      <c r="B155" t="s">
        <v>312</v>
      </c>
      <c r="C155">
        <v>55</v>
      </c>
      <c r="D155" t="s">
        <v>318</v>
      </c>
      <c r="E155" t="s">
        <v>321</v>
      </c>
      <c r="F155" t="s">
        <v>324</v>
      </c>
      <c r="G155">
        <v>30496</v>
      </c>
      <c r="H155" s="1">
        <v>43890</v>
      </c>
      <c r="J155">
        <v>2</v>
      </c>
      <c r="K155" t="s">
        <v>328</v>
      </c>
      <c r="L155" t="s">
        <v>329</v>
      </c>
      <c r="M155">
        <f ca="1">IF(HR_Table[[#This Row],[Exit_Date]]="",DATEDIF(HR_Table[[#This Row],[Joining_Date]],TODAY(),"Y"),DATEDIF(HR_Table[[#This Row],[Joining_Date]],HR_Table[[#This Row],[Exit_Date]],"Y"))</f>
        <v>6</v>
      </c>
      <c r="N155" t="str">
        <f>IF(HR_Table[[#This Row],[Age]]&lt;30,"Under 30",IF(HR_Table[[#This Row],[Age]]&lt;=40,"30-40","Above 40"))</f>
        <v>Above 40</v>
      </c>
      <c r="O155">
        <f>YEAR(HR_Table[[#This Row],[Joining_Date]])</f>
        <v>2020</v>
      </c>
    </row>
    <row r="156" spans="1:15" x14ac:dyDescent="0.3">
      <c r="A156" t="s">
        <v>166</v>
      </c>
      <c r="B156" t="s">
        <v>312</v>
      </c>
      <c r="C156">
        <v>36</v>
      </c>
      <c r="D156" t="s">
        <v>318</v>
      </c>
      <c r="E156" t="s">
        <v>320</v>
      </c>
      <c r="F156" t="s">
        <v>324</v>
      </c>
      <c r="G156">
        <v>85979</v>
      </c>
      <c r="H156" s="1">
        <v>44472</v>
      </c>
      <c r="J156">
        <v>1</v>
      </c>
      <c r="K156" t="s">
        <v>326</v>
      </c>
      <c r="L156" t="s">
        <v>329</v>
      </c>
      <c r="M156">
        <f ca="1">IF(HR_Table[[#This Row],[Exit_Date]]="",DATEDIF(HR_Table[[#This Row],[Joining_Date]],TODAY(),"Y"),DATEDIF(HR_Table[[#This Row],[Joining_Date]],HR_Table[[#This Row],[Exit_Date]],"Y"))</f>
        <v>4</v>
      </c>
      <c r="N156" t="str">
        <f>IF(HR_Table[[#This Row],[Age]]&lt;30,"Under 30",IF(HR_Table[[#This Row],[Age]]&lt;=40,"30-40","Above 40"))</f>
        <v>30-40</v>
      </c>
      <c r="O156">
        <f>YEAR(HR_Table[[#This Row],[Joining_Date]])</f>
        <v>2021</v>
      </c>
    </row>
    <row r="157" spans="1:15" x14ac:dyDescent="0.3">
      <c r="A157" t="s">
        <v>167</v>
      </c>
      <c r="B157" t="s">
        <v>312</v>
      </c>
      <c r="C157">
        <v>46</v>
      </c>
      <c r="D157" t="s">
        <v>314</v>
      </c>
      <c r="E157" t="s">
        <v>319</v>
      </c>
      <c r="F157" t="s">
        <v>324</v>
      </c>
      <c r="G157">
        <v>39715</v>
      </c>
      <c r="H157" s="1">
        <v>43993</v>
      </c>
      <c r="J157">
        <v>1</v>
      </c>
      <c r="K157" t="s">
        <v>328</v>
      </c>
      <c r="L157" t="s">
        <v>329</v>
      </c>
      <c r="M157">
        <f ca="1">IF(HR_Table[[#This Row],[Exit_Date]]="",DATEDIF(HR_Table[[#This Row],[Joining_Date]],TODAY(),"Y"),DATEDIF(HR_Table[[#This Row],[Joining_Date]],HR_Table[[#This Row],[Exit_Date]],"Y"))</f>
        <v>5</v>
      </c>
      <c r="N157" t="str">
        <f>IF(HR_Table[[#This Row],[Age]]&lt;30,"Under 30",IF(HR_Table[[#This Row],[Age]]&lt;=40,"30-40","Above 40"))</f>
        <v>Above 40</v>
      </c>
      <c r="O157">
        <f>YEAR(HR_Table[[#This Row],[Joining_Date]])</f>
        <v>2020</v>
      </c>
    </row>
    <row r="158" spans="1:15" x14ac:dyDescent="0.3">
      <c r="A158" t="s">
        <v>168</v>
      </c>
      <c r="B158" t="s">
        <v>312</v>
      </c>
      <c r="C158">
        <v>30</v>
      </c>
      <c r="D158" t="s">
        <v>314</v>
      </c>
      <c r="E158" t="s">
        <v>319</v>
      </c>
      <c r="F158" t="s">
        <v>324</v>
      </c>
      <c r="G158">
        <v>85122</v>
      </c>
      <c r="H158" s="1">
        <v>45297</v>
      </c>
      <c r="J158">
        <v>4</v>
      </c>
      <c r="K158" t="s">
        <v>327</v>
      </c>
      <c r="L158" t="s">
        <v>329</v>
      </c>
      <c r="M158">
        <f ca="1">IF(HR_Table[[#This Row],[Exit_Date]]="",DATEDIF(HR_Table[[#This Row],[Joining_Date]],TODAY(),"Y"),DATEDIF(HR_Table[[#This Row],[Joining_Date]],HR_Table[[#This Row],[Exit_Date]],"Y"))</f>
        <v>2</v>
      </c>
      <c r="N158" t="str">
        <f>IF(HR_Table[[#This Row],[Age]]&lt;30,"Under 30",IF(HR_Table[[#This Row],[Age]]&lt;=40,"30-40","Above 40"))</f>
        <v>30-40</v>
      </c>
      <c r="O158">
        <f>YEAR(HR_Table[[#This Row],[Joining_Date]])</f>
        <v>2024</v>
      </c>
    </row>
    <row r="159" spans="1:15" x14ac:dyDescent="0.3">
      <c r="A159" t="s">
        <v>169</v>
      </c>
      <c r="B159" t="s">
        <v>312</v>
      </c>
      <c r="C159">
        <v>23</v>
      </c>
      <c r="D159" t="s">
        <v>318</v>
      </c>
      <c r="E159" t="s">
        <v>320</v>
      </c>
      <c r="F159" t="s">
        <v>323</v>
      </c>
      <c r="G159">
        <v>79720</v>
      </c>
      <c r="H159" s="1">
        <v>44207</v>
      </c>
      <c r="J159">
        <v>2</v>
      </c>
      <c r="K159" t="s">
        <v>326</v>
      </c>
      <c r="L159" t="s">
        <v>329</v>
      </c>
      <c r="M159">
        <f ca="1">IF(HR_Table[[#This Row],[Exit_Date]]="",DATEDIF(HR_Table[[#This Row],[Joining_Date]],TODAY(),"Y"),DATEDIF(HR_Table[[#This Row],[Joining_Date]],HR_Table[[#This Row],[Exit_Date]],"Y"))</f>
        <v>5</v>
      </c>
      <c r="N159" t="str">
        <f>IF(HR_Table[[#This Row],[Age]]&lt;30,"Under 30",IF(HR_Table[[#This Row],[Age]]&lt;=40,"30-40","Above 40"))</f>
        <v>Under 30</v>
      </c>
      <c r="O159">
        <f>YEAR(HR_Table[[#This Row],[Joining_Date]])</f>
        <v>2021</v>
      </c>
    </row>
    <row r="160" spans="1:15" x14ac:dyDescent="0.3">
      <c r="A160" t="s">
        <v>170</v>
      </c>
      <c r="B160" t="s">
        <v>312</v>
      </c>
      <c r="C160">
        <v>37</v>
      </c>
      <c r="D160" t="s">
        <v>314</v>
      </c>
      <c r="E160" t="s">
        <v>320</v>
      </c>
      <c r="F160" t="s">
        <v>324</v>
      </c>
      <c r="G160">
        <v>29116</v>
      </c>
      <c r="H160" s="1">
        <v>43550</v>
      </c>
      <c r="I160" s="1">
        <v>44099</v>
      </c>
      <c r="J160">
        <v>1</v>
      </c>
      <c r="K160" t="s">
        <v>326</v>
      </c>
      <c r="L160" t="s">
        <v>330</v>
      </c>
      <c r="M160">
        <f ca="1">IF(HR_Table[[#This Row],[Exit_Date]]="",DATEDIF(HR_Table[[#This Row],[Joining_Date]],TODAY(),"Y"),DATEDIF(HR_Table[[#This Row],[Joining_Date]],HR_Table[[#This Row],[Exit_Date]],"Y"))</f>
        <v>1</v>
      </c>
      <c r="N160" t="str">
        <f>IF(HR_Table[[#This Row],[Age]]&lt;30,"Under 30",IF(HR_Table[[#This Row],[Age]]&lt;=40,"30-40","Above 40"))</f>
        <v>30-40</v>
      </c>
      <c r="O160">
        <f>YEAR(HR_Table[[#This Row],[Joining_Date]])</f>
        <v>2019</v>
      </c>
    </row>
    <row r="161" spans="1:15" x14ac:dyDescent="0.3">
      <c r="A161" t="s">
        <v>171</v>
      </c>
      <c r="B161" t="s">
        <v>312</v>
      </c>
      <c r="C161">
        <v>31</v>
      </c>
      <c r="D161" t="s">
        <v>315</v>
      </c>
      <c r="E161" t="s">
        <v>320</v>
      </c>
      <c r="F161" t="s">
        <v>324</v>
      </c>
      <c r="G161">
        <v>25102</v>
      </c>
      <c r="H161" s="1">
        <v>44565</v>
      </c>
      <c r="J161">
        <v>5</v>
      </c>
      <c r="K161" t="s">
        <v>328</v>
      </c>
      <c r="L161" t="s">
        <v>329</v>
      </c>
      <c r="M161">
        <f ca="1">IF(HR_Table[[#This Row],[Exit_Date]]="",DATEDIF(HR_Table[[#This Row],[Joining_Date]],TODAY(),"Y"),DATEDIF(HR_Table[[#This Row],[Joining_Date]],HR_Table[[#This Row],[Exit_Date]],"Y"))</f>
        <v>4</v>
      </c>
      <c r="N161" t="str">
        <f>IF(HR_Table[[#This Row],[Age]]&lt;30,"Under 30",IF(HR_Table[[#This Row],[Age]]&lt;=40,"30-40","Above 40"))</f>
        <v>30-40</v>
      </c>
      <c r="O161">
        <f>YEAR(HR_Table[[#This Row],[Joining_Date]])</f>
        <v>2022</v>
      </c>
    </row>
    <row r="162" spans="1:15" x14ac:dyDescent="0.3">
      <c r="A162" t="s">
        <v>172</v>
      </c>
      <c r="B162" t="s">
        <v>312</v>
      </c>
      <c r="C162">
        <v>55</v>
      </c>
      <c r="D162" t="s">
        <v>316</v>
      </c>
      <c r="E162" t="s">
        <v>320</v>
      </c>
      <c r="F162" t="s">
        <v>323</v>
      </c>
      <c r="G162">
        <v>87482</v>
      </c>
      <c r="H162" s="1">
        <v>44707</v>
      </c>
      <c r="J162">
        <v>5</v>
      </c>
      <c r="K162" t="s">
        <v>325</v>
      </c>
      <c r="L162" t="s">
        <v>329</v>
      </c>
      <c r="M162">
        <f ca="1">IF(HR_Table[[#This Row],[Exit_Date]]="",DATEDIF(HR_Table[[#This Row],[Joining_Date]],TODAY(),"Y"),DATEDIF(HR_Table[[#This Row],[Joining_Date]],HR_Table[[#This Row],[Exit_Date]],"Y"))</f>
        <v>3</v>
      </c>
      <c r="N162" t="str">
        <f>IF(HR_Table[[#This Row],[Age]]&lt;30,"Under 30",IF(HR_Table[[#This Row],[Age]]&lt;=40,"30-40","Above 40"))</f>
        <v>Above 40</v>
      </c>
      <c r="O162">
        <f>YEAR(HR_Table[[#This Row],[Joining_Date]])</f>
        <v>2022</v>
      </c>
    </row>
    <row r="163" spans="1:15" x14ac:dyDescent="0.3">
      <c r="A163" t="s">
        <v>173</v>
      </c>
      <c r="B163" t="s">
        <v>313</v>
      </c>
      <c r="C163">
        <v>38</v>
      </c>
      <c r="D163" t="s">
        <v>318</v>
      </c>
      <c r="E163" t="s">
        <v>321</v>
      </c>
      <c r="F163" t="s">
        <v>324</v>
      </c>
      <c r="G163">
        <v>76676</v>
      </c>
      <c r="H163" s="1">
        <v>44295</v>
      </c>
      <c r="I163" s="1">
        <v>45387</v>
      </c>
      <c r="J163">
        <v>1</v>
      </c>
      <c r="K163" t="s">
        <v>328</v>
      </c>
      <c r="L163" t="s">
        <v>330</v>
      </c>
      <c r="M163">
        <f ca="1">IF(HR_Table[[#This Row],[Exit_Date]]="",DATEDIF(HR_Table[[#This Row],[Joining_Date]],TODAY(),"Y"),DATEDIF(HR_Table[[#This Row],[Joining_Date]],HR_Table[[#This Row],[Exit_Date]],"Y"))</f>
        <v>2</v>
      </c>
      <c r="N163" t="str">
        <f>IF(HR_Table[[#This Row],[Age]]&lt;30,"Under 30",IF(HR_Table[[#This Row],[Age]]&lt;=40,"30-40","Above 40"))</f>
        <v>30-40</v>
      </c>
      <c r="O163">
        <f>YEAR(HR_Table[[#This Row],[Joining_Date]])</f>
        <v>2021</v>
      </c>
    </row>
    <row r="164" spans="1:15" x14ac:dyDescent="0.3">
      <c r="A164" t="s">
        <v>174</v>
      </c>
      <c r="B164" t="s">
        <v>313</v>
      </c>
      <c r="C164">
        <v>30</v>
      </c>
      <c r="D164" t="s">
        <v>316</v>
      </c>
      <c r="E164" t="s">
        <v>319</v>
      </c>
      <c r="F164" t="s">
        <v>324</v>
      </c>
      <c r="G164">
        <v>60783</v>
      </c>
      <c r="H164" s="1">
        <v>45061</v>
      </c>
      <c r="J164">
        <v>3</v>
      </c>
      <c r="K164" t="s">
        <v>327</v>
      </c>
      <c r="L164" t="s">
        <v>329</v>
      </c>
      <c r="M164">
        <f ca="1">IF(HR_Table[[#This Row],[Exit_Date]]="",DATEDIF(HR_Table[[#This Row],[Joining_Date]],TODAY(),"Y"),DATEDIF(HR_Table[[#This Row],[Joining_Date]],HR_Table[[#This Row],[Exit_Date]],"Y"))</f>
        <v>2</v>
      </c>
      <c r="N164" t="str">
        <f>IF(HR_Table[[#This Row],[Age]]&lt;30,"Under 30",IF(HR_Table[[#This Row],[Age]]&lt;=40,"30-40","Above 40"))</f>
        <v>30-40</v>
      </c>
      <c r="O164">
        <f>YEAR(HR_Table[[#This Row],[Joining_Date]])</f>
        <v>2023</v>
      </c>
    </row>
    <row r="165" spans="1:15" x14ac:dyDescent="0.3">
      <c r="A165" t="s">
        <v>175</v>
      </c>
      <c r="B165" t="s">
        <v>312</v>
      </c>
      <c r="C165">
        <v>30</v>
      </c>
      <c r="D165" t="s">
        <v>318</v>
      </c>
      <c r="E165" t="s">
        <v>321</v>
      </c>
      <c r="F165" t="s">
        <v>324</v>
      </c>
      <c r="G165">
        <v>27423</v>
      </c>
      <c r="H165" s="1">
        <v>45218</v>
      </c>
      <c r="J165">
        <v>3</v>
      </c>
      <c r="K165" t="s">
        <v>327</v>
      </c>
      <c r="L165" t="s">
        <v>329</v>
      </c>
      <c r="M165">
        <f ca="1">IF(HR_Table[[#This Row],[Exit_Date]]="",DATEDIF(HR_Table[[#This Row],[Joining_Date]],TODAY(),"Y"),DATEDIF(HR_Table[[#This Row],[Joining_Date]],HR_Table[[#This Row],[Exit_Date]],"Y"))</f>
        <v>2</v>
      </c>
      <c r="N165" t="str">
        <f>IF(HR_Table[[#This Row],[Age]]&lt;30,"Under 30",IF(HR_Table[[#This Row],[Age]]&lt;=40,"30-40","Above 40"))</f>
        <v>30-40</v>
      </c>
      <c r="O165">
        <f>YEAR(HR_Table[[#This Row],[Joining_Date]])</f>
        <v>2023</v>
      </c>
    </row>
    <row r="166" spans="1:15" x14ac:dyDescent="0.3">
      <c r="A166" t="s">
        <v>176</v>
      </c>
      <c r="B166" t="s">
        <v>313</v>
      </c>
      <c r="C166">
        <v>41</v>
      </c>
      <c r="D166" t="s">
        <v>314</v>
      </c>
      <c r="E166" t="s">
        <v>320</v>
      </c>
      <c r="F166" t="s">
        <v>324</v>
      </c>
      <c r="G166">
        <v>41601</v>
      </c>
      <c r="H166" s="1">
        <v>43187</v>
      </c>
      <c r="J166">
        <v>1</v>
      </c>
      <c r="K166" t="s">
        <v>327</v>
      </c>
      <c r="L166" t="s">
        <v>329</v>
      </c>
      <c r="M166">
        <f ca="1">IF(HR_Table[[#This Row],[Exit_Date]]="",DATEDIF(HR_Table[[#This Row],[Joining_Date]],TODAY(),"Y"),DATEDIF(HR_Table[[#This Row],[Joining_Date]],HR_Table[[#This Row],[Exit_Date]],"Y"))</f>
        <v>7</v>
      </c>
      <c r="N166" t="str">
        <f>IF(HR_Table[[#This Row],[Age]]&lt;30,"Under 30",IF(HR_Table[[#This Row],[Age]]&lt;=40,"30-40","Above 40"))</f>
        <v>Above 40</v>
      </c>
      <c r="O166">
        <f>YEAR(HR_Table[[#This Row],[Joining_Date]])</f>
        <v>2018</v>
      </c>
    </row>
    <row r="167" spans="1:15" x14ac:dyDescent="0.3">
      <c r="A167" t="s">
        <v>177</v>
      </c>
      <c r="B167" t="s">
        <v>312</v>
      </c>
      <c r="C167">
        <v>43</v>
      </c>
      <c r="D167" t="s">
        <v>317</v>
      </c>
      <c r="E167" t="s">
        <v>322</v>
      </c>
      <c r="F167" t="s">
        <v>323</v>
      </c>
      <c r="G167">
        <v>77385</v>
      </c>
      <c r="H167" s="1">
        <v>43832</v>
      </c>
      <c r="J167">
        <v>3</v>
      </c>
      <c r="K167" t="s">
        <v>326</v>
      </c>
      <c r="L167" t="s">
        <v>329</v>
      </c>
      <c r="M167">
        <f ca="1">IF(HR_Table[[#This Row],[Exit_Date]]="",DATEDIF(HR_Table[[#This Row],[Joining_Date]],TODAY(),"Y"),DATEDIF(HR_Table[[#This Row],[Joining_Date]],HR_Table[[#This Row],[Exit_Date]],"Y"))</f>
        <v>6</v>
      </c>
      <c r="N167" t="str">
        <f>IF(HR_Table[[#This Row],[Age]]&lt;30,"Under 30",IF(HR_Table[[#This Row],[Age]]&lt;=40,"30-40","Above 40"))</f>
        <v>Above 40</v>
      </c>
      <c r="O167">
        <f>YEAR(HR_Table[[#This Row],[Joining_Date]])</f>
        <v>2020</v>
      </c>
    </row>
    <row r="168" spans="1:15" x14ac:dyDescent="0.3">
      <c r="A168" t="s">
        <v>178</v>
      </c>
      <c r="B168" t="s">
        <v>313</v>
      </c>
      <c r="C168">
        <v>43</v>
      </c>
      <c r="D168" t="s">
        <v>318</v>
      </c>
      <c r="E168" t="s">
        <v>321</v>
      </c>
      <c r="F168" t="s">
        <v>324</v>
      </c>
      <c r="G168">
        <v>70355</v>
      </c>
      <c r="H168" s="1">
        <v>44171</v>
      </c>
      <c r="J168">
        <v>4</v>
      </c>
      <c r="K168" t="s">
        <v>328</v>
      </c>
      <c r="L168" t="s">
        <v>329</v>
      </c>
      <c r="M168">
        <f ca="1">IF(HR_Table[[#This Row],[Exit_Date]]="",DATEDIF(HR_Table[[#This Row],[Joining_Date]],TODAY(),"Y"),DATEDIF(HR_Table[[#This Row],[Joining_Date]],HR_Table[[#This Row],[Exit_Date]],"Y"))</f>
        <v>5</v>
      </c>
      <c r="N168" t="str">
        <f>IF(HR_Table[[#This Row],[Age]]&lt;30,"Under 30",IF(HR_Table[[#This Row],[Age]]&lt;=40,"30-40","Above 40"))</f>
        <v>Above 40</v>
      </c>
      <c r="O168">
        <f>YEAR(HR_Table[[#This Row],[Joining_Date]])</f>
        <v>2020</v>
      </c>
    </row>
    <row r="169" spans="1:15" x14ac:dyDescent="0.3">
      <c r="A169" t="s">
        <v>179</v>
      </c>
      <c r="B169" t="s">
        <v>313</v>
      </c>
      <c r="C169">
        <v>27</v>
      </c>
      <c r="D169" t="s">
        <v>315</v>
      </c>
      <c r="E169" t="s">
        <v>320</v>
      </c>
      <c r="F169" t="s">
        <v>323</v>
      </c>
      <c r="G169">
        <v>60748</v>
      </c>
      <c r="H169" s="1">
        <v>43462</v>
      </c>
      <c r="J169">
        <v>3</v>
      </c>
      <c r="K169" t="s">
        <v>328</v>
      </c>
      <c r="L169" t="s">
        <v>329</v>
      </c>
      <c r="M169">
        <f ca="1">IF(HR_Table[[#This Row],[Exit_Date]]="",DATEDIF(HR_Table[[#This Row],[Joining_Date]],TODAY(),"Y"),DATEDIF(HR_Table[[#This Row],[Joining_Date]],HR_Table[[#This Row],[Exit_Date]],"Y"))</f>
        <v>7</v>
      </c>
      <c r="N169" t="str">
        <f>IF(HR_Table[[#This Row],[Age]]&lt;30,"Under 30",IF(HR_Table[[#This Row],[Age]]&lt;=40,"30-40","Above 40"))</f>
        <v>Under 30</v>
      </c>
      <c r="O169">
        <f>YEAR(HR_Table[[#This Row],[Joining_Date]])</f>
        <v>2018</v>
      </c>
    </row>
    <row r="170" spans="1:15" x14ac:dyDescent="0.3">
      <c r="A170" t="s">
        <v>180</v>
      </c>
      <c r="B170" t="s">
        <v>313</v>
      </c>
      <c r="C170">
        <v>41</v>
      </c>
      <c r="D170" t="s">
        <v>314</v>
      </c>
      <c r="E170" t="s">
        <v>320</v>
      </c>
      <c r="F170" t="s">
        <v>324</v>
      </c>
      <c r="G170">
        <v>35921</v>
      </c>
      <c r="H170" s="1">
        <v>42697</v>
      </c>
      <c r="J170">
        <v>4</v>
      </c>
      <c r="K170" t="s">
        <v>328</v>
      </c>
      <c r="L170" t="s">
        <v>329</v>
      </c>
      <c r="M170">
        <f ca="1">IF(HR_Table[[#This Row],[Exit_Date]]="",DATEDIF(HR_Table[[#This Row],[Joining_Date]],TODAY(),"Y"),DATEDIF(HR_Table[[#This Row],[Joining_Date]],HR_Table[[#This Row],[Exit_Date]],"Y"))</f>
        <v>9</v>
      </c>
      <c r="N170" t="str">
        <f>IF(HR_Table[[#This Row],[Age]]&lt;30,"Under 30",IF(HR_Table[[#This Row],[Age]]&lt;=40,"30-40","Above 40"))</f>
        <v>Above 40</v>
      </c>
      <c r="O170">
        <f>YEAR(HR_Table[[#This Row],[Joining_Date]])</f>
        <v>2016</v>
      </c>
    </row>
    <row r="171" spans="1:15" x14ac:dyDescent="0.3">
      <c r="A171" t="s">
        <v>181</v>
      </c>
      <c r="B171" t="s">
        <v>313</v>
      </c>
      <c r="C171">
        <v>49</v>
      </c>
      <c r="D171" t="s">
        <v>318</v>
      </c>
      <c r="E171" t="s">
        <v>320</v>
      </c>
      <c r="F171" t="s">
        <v>323</v>
      </c>
      <c r="G171">
        <v>29917</v>
      </c>
      <c r="H171" s="1">
        <v>42543</v>
      </c>
      <c r="J171">
        <v>4</v>
      </c>
      <c r="K171" t="s">
        <v>328</v>
      </c>
      <c r="L171" t="s">
        <v>329</v>
      </c>
      <c r="M171">
        <f ca="1">IF(HR_Table[[#This Row],[Exit_Date]]="",DATEDIF(HR_Table[[#This Row],[Joining_Date]],TODAY(),"Y"),DATEDIF(HR_Table[[#This Row],[Joining_Date]],HR_Table[[#This Row],[Exit_Date]],"Y"))</f>
        <v>9</v>
      </c>
      <c r="N171" t="str">
        <f>IF(HR_Table[[#This Row],[Age]]&lt;30,"Under 30",IF(HR_Table[[#This Row],[Age]]&lt;=40,"30-40","Above 40"))</f>
        <v>Above 40</v>
      </c>
      <c r="O171">
        <f>YEAR(HR_Table[[#This Row],[Joining_Date]])</f>
        <v>2016</v>
      </c>
    </row>
    <row r="172" spans="1:15" x14ac:dyDescent="0.3">
      <c r="A172" t="s">
        <v>182</v>
      </c>
      <c r="B172" t="s">
        <v>312</v>
      </c>
      <c r="C172">
        <v>50</v>
      </c>
      <c r="D172" t="s">
        <v>315</v>
      </c>
      <c r="E172" t="s">
        <v>319</v>
      </c>
      <c r="F172" t="s">
        <v>323</v>
      </c>
      <c r="G172">
        <v>29406</v>
      </c>
      <c r="H172" s="1">
        <v>45152</v>
      </c>
      <c r="I172" s="1">
        <v>45515</v>
      </c>
      <c r="J172">
        <v>2</v>
      </c>
      <c r="K172" t="s">
        <v>328</v>
      </c>
      <c r="L172" t="s">
        <v>330</v>
      </c>
      <c r="M172">
        <f ca="1">IF(HR_Table[[#This Row],[Exit_Date]]="",DATEDIF(HR_Table[[#This Row],[Joining_Date]],TODAY(),"Y"),DATEDIF(HR_Table[[#This Row],[Joining_Date]],HR_Table[[#This Row],[Exit_Date]],"Y"))</f>
        <v>0</v>
      </c>
      <c r="N172" t="str">
        <f>IF(HR_Table[[#This Row],[Age]]&lt;30,"Under 30",IF(HR_Table[[#This Row],[Age]]&lt;=40,"30-40","Above 40"))</f>
        <v>Above 40</v>
      </c>
      <c r="O172">
        <f>YEAR(HR_Table[[#This Row],[Joining_Date]])</f>
        <v>2023</v>
      </c>
    </row>
    <row r="173" spans="1:15" x14ac:dyDescent="0.3">
      <c r="A173" t="s">
        <v>183</v>
      </c>
      <c r="B173" t="s">
        <v>312</v>
      </c>
      <c r="C173">
        <v>31</v>
      </c>
      <c r="D173" t="s">
        <v>317</v>
      </c>
      <c r="E173" t="s">
        <v>320</v>
      </c>
      <c r="F173" t="s">
        <v>324</v>
      </c>
      <c r="G173">
        <v>87182</v>
      </c>
      <c r="H173" s="1">
        <v>43938</v>
      </c>
      <c r="J173">
        <v>3</v>
      </c>
      <c r="K173" t="s">
        <v>328</v>
      </c>
      <c r="L173" t="s">
        <v>329</v>
      </c>
      <c r="M173">
        <f ca="1">IF(HR_Table[[#This Row],[Exit_Date]]="",DATEDIF(HR_Table[[#This Row],[Joining_Date]],TODAY(),"Y"),DATEDIF(HR_Table[[#This Row],[Joining_Date]],HR_Table[[#This Row],[Exit_Date]],"Y"))</f>
        <v>5</v>
      </c>
      <c r="N173" t="str">
        <f>IF(HR_Table[[#This Row],[Age]]&lt;30,"Under 30",IF(HR_Table[[#This Row],[Age]]&lt;=40,"30-40","Above 40"))</f>
        <v>30-40</v>
      </c>
      <c r="O173">
        <f>YEAR(HR_Table[[#This Row],[Joining_Date]])</f>
        <v>2020</v>
      </c>
    </row>
    <row r="174" spans="1:15" x14ac:dyDescent="0.3">
      <c r="A174" t="s">
        <v>184</v>
      </c>
      <c r="B174" t="s">
        <v>313</v>
      </c>
      <c r="C174">
        <v>47</v>
      </c>
      <c r="D174" t="s">
        <v>318</v>
      </c>
      <c r="E174" t="s">
        <v>320</v>
      </c>
      <c r="F174" t="s">
        <v>324</v>
      </c>
      <c r="G174">
        <v>41358</v>
      </c>
      <c r="H174" s="1">
        <v>42684</v>
      </c>
      <c r="J174">
        <v>1</v>
      </c>
      <c r="K174" t="s">
        <v>325</v>
      </c>
      <c r="L174" t="s">
        <v>329</v>
      </c>
      <c r="M174">
        <f ca="1">IF(HR_Table[[#This Row],[Exit_Date]]="",DATEDIF(HR_Table[[#This Row],[Joining_Date]],TODAY(),"Y"),DATEDIF(HR_Table[[#This Row],[Joining_Date]],HR_Table[[#This Row],[Exit_Date]],"Y"))</f>
        <v>9</v>
      </c>
      <c r="N174" t="str">
        <f>IF(HR_Table[[#This Row],[Age]]&lt;30,"Under 30",IF(HR_Table[[#This Row],[Age]]&lt;=40,"30-40","Above 40"))</f>
        <v>Above 40</v>
      </c>
      <c r="O174">
        <f>YEAR(HR_Table[[#This Row],[Joining_Date]])</f>
        <v>2016</v>
      </c>
    </row>
    <row r="175" spans="1:15" x14ac:dyDescent="0.3">
      <c r="A175" t="s">
        <v>185</v>
      </c>
      <c r="B175" t="s">
        <v>312</v>
      </c>
      <c r="C175">
        <v>38</v>
      </c>
      <c r="D175" t="s">
        <v>316</v>
      </c>
      <c r="E175" t="s">
        <v>320</v>
      </c>
      <c r="F175" t="s">
        <v>324</v>
      </c>
      <c r="G175">
        <v>39062</v>
      </c>
      <c r="H175" s="1">
        <v>44414</v>
      </c>
      <c r="J175">
        <v>5</v>
      </c>
      <c r="K175" t="s">
        <v>328</v>
      </c>
      <c r="L175" t="s">
        <v>329</v>
      </c>
      <c r="M175">
        <f ca="1">IF(HR_Table[[#This Row],[Exit_Date]]="",DATEDIF(HR_Table[[#This Row],[Joining_Date]],TODAY(),"Y"),DATEDIF(HR_Table[[#This Row],[Joining_Date]],HR_Table[[#This Row],[Exit_Date]],"Y"))</f>
        <v>4</v>
      </c>
      <c r="N175" t="str">
        <f>IF(HR_Table[[#This Row],[Age]]&lt;30,"Under 30",IF(HR_Table[[#This Row],[Age]]&lt;=40,"30-40","Above 40"))</f>
        <v>30-40</v>
      </c>
      <c r="O175">
        <f>YEAR(HR_Table[[#This Row],[Joining_Date]])</f>
        <v>2021</v>
      </c>
    </row>
    <row r="176" spans="1:15" x14ac:dyDescent="0.3">
      <c r="A176" t="s">
        <v>186</v>
      </c>
      <c r="B176" t="s">
        <v>313</v>
      </c>
      <c r="C176">
        <v>33</v>
      </c>
      <c r="D176" t="s">
        <v>318</v>
      </c>
      <c r="E176" t="s">
        <v>320</v>
      </c>
      <c r="F176" t="s">
        <v>323</v>
      </c>
      <c r="G176">
        <v>78117</v>
      </c>
      <c r="H176" s="1">
        <v>43189</v>
      </c>
      <c r="I176" s="1">
        <v>43640</v>
      </c>
      <c r="J176">
        <v>3</v>
      </c>
      <c r="K176" t="s">
        <v>328</v>
      </c>
      <c r="L176" t="s">
        <v>330</v>
      </c>
      <c r="M176">
        <f ca="1">IF(HR_Table[[#This Row],[Exit_Date]]="",DATEDIF(HR_Table[[#This Row],[Joining_Date]],TODAY(),"Y"),DATEDIF(HR_Table[[#This Row],[Joining_Date]],HR_Table[[#This Row],[Exit_Date]],"Y"))</f>
        <v>1</v>
      </c>
      <c r="N176" t="str">
        <f>IF(HR_Table[[#This Row],[Age]]&lt;30,"Under 30",IF(HR_Table[[#This Row],[Age]]&lt;=40,"30-40","Above 40"))</f>
        <v>30-40</v>
      </c>
      <c r="O176">
        <f>YEAR(HR_Table[[#This Row],[Joining_Date]])</f>
        <v>2018</v>
      </c>
    </row>
    <row r="177" spans="1:15" x14ac:dyDescent="0.3">
      <c r="A177" t="s">
        <v>187</v>
      </c>
      <c r="B177" t="s">
        <v>313</v>
      </c>
      <c r="C177">
        <v>32</v>
      </c>
      <c r="D177" t="s">
        <v>314</v>
      </c>
      <c r="E177" t="s">
        <v>319</v>
      </c>
      <c r="F177" t="s">
        <v>324</v>
      </c>
      <c r="G177">
        <v>58341</v>
      </c>
      <c r="H177" s="1">
        <v>44622</v>
      </c>
      <c r="J177">
        <v>2</v>
      </c>
      <c r="K177" t="s">
        <v>325</v>
      </c>
      <c r="L177" t="s">
        <v>329</v>
      </c>
      <c r="M177">
        <f ca="1">IF(HR_Table[[#This Row],[Exit_Date]]="",DATEDIF(HR_Table[[#This Row],[Joining_Date]],TODAY(),"Y"),DATEDIF(HR_Table[[#This Row],[Joining_Date]],HR_Table[[#This Row],[Exit_Date]],"Y"))</f>
        <v>4</v>
      </c>
      <c r="N177" t="str">
        <f>IF(HR_Table[[#This Row],[Age]]&lt;30,"Under 30",IF(HR_Table[[#This Row],[Age]]&lt;=40,"30-40","Above 40"))</f>
        <v>30-40</v>
      </c>
      <c r="O177">
        <f>YEAR(HR_Table[[#This Row],[Joining_Date]])</f>
        <v>2022</v>
      </c>
    </row>
    <row r="178" spans="1:15" x14ac:dyDescent="0.3">
      <c r="A178" t="s">
        <v>188</v>
      </c>
      <c r="B178" t="s">
        <v>312</v>
      </c>
      <c r="C178">
        <v>45</v>
      </c>
      <c r="D178" t="s">
        <v>316</v>
      </c>
      <c r="E178" t="s">
        <v>320</v>
      </c>
      <c r="F178" t="s">
        <v>324</v>
      </c>
      <c r="G178">
        <v>77668</v>
      </c>
      <c r="H178" s="1">
        <v>42938</v>
      </c>
      <c r="I178" s="1">
        <v>44249</v>
      </c>
      <c r="J178">
        <v>5</v>
      </c>
      <c r="K178" t="s">
        <v>327</v>
      </c>
      <c r="L178" t="s">
        <v>330</v>
      </c>
      <c r="M178">
        <f ca="1">IF(HR_Table[[#This Row],[Exit_Date]]="",DATEDIF(HR_Table[[#This Row],[Joining_Date]],TODAY(),"Y"),DATEDIF(HR_Table[[#This Row],[Joining_Date]],HR_Table[[#This Row],[Exit_Date]],"Y"))</f>
        <v>3</v>
      </c>
      <c r="N178" t="str">
        <f>IF(HR_Table[[#This Row],[Age]]&lt;30,"Under 30",IF(HR_Table[[#This Row],[Age]]&lt;=40,"30-40","Above 40"))</f>
        <v>Above 40</v>
      </c>
      <c r="O178">
        <f>YEAR(HR_Table[[#This Row],[Joining_Date]])</f>
        <v>2017</v>
      </c>
    </row>
    <row r="179" spans="1:15" x14ac:dyDescent="0.3">
      <c r="A179" t="s">
        <v>189</v>
      </c>
      <c r="B179" t="s">
        <v>313</v>
      </c>
      <c r="C179">
        <v>55</v>
      </c>
      <c r="D179" t="s">
        <v>315</v>
      </c>
      <c r="E179" t="s">
        <v>320</v>
      </c>
      <c r="F179" t="s">
        <v>324</v>
      </c>
      <c r="G179">
        <v>78958</v>
      </c>
      <c r="H179" s="1">
        <v>42723</v>
      </c>
      <c r="I179" s="1">
        <v>43838</v>
      </c>
      <c r="J179">
        <v>5</v>
      </c>
      <c r="K179" t="s">
        <v>325</v>
      </c>
      <c r="L179" t="s">
        <v>330</v>
      </c>
      <c r="M179">
        <f ca="1">IF(HR_Table[[#This Row],[Exit_Date]]="",DATEDIF(HR_Table[[#This Row],[Joining_Date]],TODAY(),"Y"),DATEDIF(HR_Table[[#This Row],[Joining_Date]],HR_Table[[#This Row],[Exit_Date]],"Y"))</f>
        <v>3</v>
      </c>
      <c r="N179" t="str">
        <f>IF(HR_Table[[#This Row],[Age]]&lt;30,"Under 30",IF(HR_Table[[#This Row],[Age]]&lt;=40,"30-40","Above 40"))</f>
        <v>Above 40</v>
      </c>
      <c r="O179">
        <f>YEAR(HR_Table[[#This Row],[Joining_Date]])</f>
        <v>2016</v>
      </c>
    </row>
    <row r="180" spans="1:15" x14ac:dyDescent="0.3">
      <c r="A180" t="s">
        <v>190</v>
      </c>
      <c r="B180" t="s">
        <v>313</v>
      </c>
      <c r="C180">
        <v>51</v>
      </c>
      <c r="D180" t="s">
        <v>316</v>
      </c>
      <c r="E180" t="s">
        <v>320</v>
      </c>
      <c r="F180" t="s">
        <v>323</v>
      </c>
      <c r="G180">
        <v>82537</v>
      </c>
      <c r="H180" s="1">
        <v>43668</v>
      </c>
      <c r="J180">
        <v>5</v>
      </c>
      <c r="K180" t="s">
        <v>327</v>
      </c>
      <c r="L180" t="s">
        <v>329</v>
      </c>
      <c r="M180">
        <f ca="1">IF(HR_Table[[#This Row],[Exit_Date]]="",DATEDIF(HR_Table[[#This Row],[Joining_Date]],TODAY(),"Y"),DATEDIF(HR_Table[[#This Row],[Joining_Date]],HR_Table[[#This Row],[Exit_Date]],"Y"))</f>
        <v>6</v>
      </c>
      <c r="N180" t="str">
        <f>IF(HR_Table[[#This Row],[Age]]&lt;30,"Under 30",IF(HR_Table[[#This Row],[Age]]&lt;=40,"30-40","Above 40"))</f>
        <v>Above 40</v>
      </c>
      <c r="O180">
        <f>YEAR(HR_Table[[#This Row],[Joining_Date]])</f>
        <v>2019</v>
      </c>
    </row>
    <row r="181" spans="1:15" x14ac:dyDescent="0.3">
      <c r="A181" t="s">
        <v>191</v>
      </c>
      <c r="B181" t="s">
        <v>312</v>
      </c>
      <c r="C181">
        <v>29</v>
      </c>
      <c r="D181" t="s">
        <v>316</v>
      </c>
      <c r="E181" t="s">
        <v>319</v>
      </c>
      <c r="F181" t="s">
        <v>324</v>
      </c>
      <c r="G181">
        <v>35790</v>
      </c>
      <c r="H181" s="1">
        <v>44142</v>
      </c>
      <c r="J181">
        <v>2</v>
      </c>
      <c r="K181" t="s">
        <v>328</v>
      </c>
      <c r="L181" t="s">
        <v>329</v>
      </c>
      <c r="M181">
        <f ca="1">IF(HR_Table[[#This Row],[Exit_Date]]="",DATEDIF(HR_Table[[#This Row],[Joining_Date]],TODAY(),"Y"),DATEDIF(HR_Table[[#This Row],[Joining_Date]],HR_Table[[#This Row],[Exit_Date]],"Y"))</f>
        <v>5</v>
      </c>
      <c r="N181" t="str">
        <f>IF(HR_Table[[#This Row],[Age]]&lt;30,"Under 30",IF(HR_Table[[#This Row],[Age]]&lt;=40,"30-40","Above 40"))</f>
        <v>Under 30</v>
      </c>
      <c r="O181">
        <f>YEAR(HR_Table[[#This Row],[Joining_Date]])</f>
        <v>2020</v>
      </c>
    </row>
    <row r="182" spans="1:15" x14ac:dyDescent="0.3">
      <c r="A182" t="s">
        <v>192</v>
      </c>
      <c r="B182" t="s">
        <v>313</v>
      </c>
      <c r="C182">
        <v>27</v>
      </c>
      <c r="D182" t="s">
        <v>316</v>
      </c>
      <c r="E182" t="s">
        <v>320</v>
      </c>
      <c r="F182" t="s">
        <v>323</v>
      </c>
      <c r="G182">
        <v>66619</v>
      </c>
      <c r="H182" s="1">
        <v>43787</v>
      </c>
      <c r="J182">
        <v>5</v>
      </c>
      <c r="K182" t="s">
        <v>328</v>
      </c>
      <c r="L182" t="s">
        <v>329</v>
      </c>
      <c r="M182">
        <f ca="1">IF(HR_Table[[#This Row],[Exit_Date]]="",DATEDIF(HR_Table[[#This Row],[Joining_Date]],TODAY(),"Y"),DATEDIF(HR_Table[[#This Row],[Joining_Date]],HR_Table[[#This Row],[Exit_Date]],"Y"))</f>
        <v>6</v>
      </c>
      <c r="N182" t="str">
        <f>IF(HR_Table[[#This Row],[Age]]&lt;30,"Under 30",IF(HR_Table[[#This Row],[Age]]&lt;=40,"30-40","Above 40"))</f>
        <v>Under 30</v>
      </c>
      <c r="O182">
        <f>YEAR(HR_Table[[#This Row],[Joining_Date]])</f>
        <v>2019</v>
      </c>
    </row>
    <row r="183" spans="1:15" x14ac:dyDescent="0.3">
      <c r="A183" t="s">
        <v>193</v>
      </c>
      <c r="B183" t="s">
        <v>312</v>
      </c>
      <c r="C183">
        <v>54</v>
      </c>
      <c r="D183" t="s">
        <v>316</v>
      </c>
      <c r="E183" t="s">
        <v>319</v>
      </c>
      <c r="F183" t="s">
        <v>323</v>
      </c>
      <c r="G183">
        <v>36219</v>
      </c>
      <c r="H183" s="1">
        <v>44930</v>
      </c>
      <c r="J183">
        <v>5</v>
      </c>
      <c r="K183" t="s">
        <v>328</v>
      </c>
      <c r="L183" t="s">
        <v>329</v>
      </c>
      <c r="M183">
        <f ca="1">IF(HR_Table[[#This Row],[Exit_Date]]="",DATEDIF(HR_Table[[#This Row],[Joining_Date]],TODAY(),"Y"),DATEDIF(HR_Table[[#This Row],[Joining_Date]],HR_Table[[#This Row],[Exit_Date]],"Y"))</f>
        <v>3</v>
      </c>
      <c r="N183" t="str">
        <f>IF(HR_Table[[#This Row],[Age]]&lt;30,"Under 30",IF(HR_Table[[#This Row],[Age]]&lt;=40,"30-40","Above 40"))</f>
        <v>Above 40</v>
      </c>
      <c r="O183">
        <f>YEAR(HR_Table[[#This Row],[Joining_Date]])</f>
        <v>2023</v>
      </c>
    </row>
    <row r="184" spans="1:15" x14ac:dyDescent="0.3">
      <c r="A184" t="s">
        <v>194</v>
      </c>
      <c r="B184" t="s">
        <v>312</v>
      </c>
      <c r="C184">
        <v>27</v>
      </c>
      <c r="D184" t="s">
        <v>315</v>
      </c>
      <c r="E184" t="s">
        <v>319</v>
      </c>
      <c r="F184" t="s">
        <v>324</v>
      </c>
      <c r="G184">
        <v>67672</v>
      </c>
      <c r="H184" s="1">
        <v>42538</v>
      </c>
      <c r="J184">
        <v>2</v>
      </c>
      <c r="K184" t="s">
        <v>326</v>
      </c>
      <c r="L184" t="s">
        <v>329</v>
      </c>
      <c r="M184">
        <f ca="1">IF(HR_Table[[#This Row],[Exit_Date]]="",DATEDIF(HR_Table[[#This Row],[Joining_Date]],TODAY(),"Y"),DATEDIF(HR_Table[[#This Row],[Joining_Date]],HR_Table[[#This Row],[Exit_Date]],"Y"))</f>
        <v>9</v>
      </c>
      <c r="N184" t="str">
        <f>IF(HR_Table[[#This Row],[Age]]&lt;30,"Under 30",IF(HR_Table[[#This Row],[Age]]&lt;=40,"30-40","Above 40"))</f>
        <v>Under 30</v>
      </c>
      <c r="O184">
        <f>YEAR(HR_Table[[#This Row],[Joining_Date]])</f>
        <v>2016</v>
      </c>
    </row>
    <row r="185" spans="1:15" x14ac:dyDescent="0.3">
      <c r="A185" t="s">
        <v>195</v>
      </c>
      <c r="B185" t="s">
        <v>313</v>
      </c>
      <c r="C185">
        <v>41</v>
      </c>
      <c r="D185" t="s">
        <v>315</v>
      </c>
      <c r="E185" t="s">
        <v>320</v>
      </c>
      <c r="F185" t="s">
        <v>323</v>
      </c>
      <c r="G185">
        <v>77736</v>
      </c>
      <c r="H185" s="1">
        <v>44987</v>
      </c>
      <c r="J185">
        <v>4</v>
      </c>
      <c r="K185" t="s">
        <v>328</v>
      </c>
      <c r="L185" t="s">
        <v>329</v>
      </c>
      <c r="M185">
        <f ca="1">IF(HR_Table[[#This Row],[Exit_Date]]="",DATEDIF(HR_Table[[#This Row],[Joining_Date]],TODAY(),"Y"),DATEDIF(HR_Table[[#This Row],[Joining_Date]],HR_Table[[#This Row],[Exit_Date]],"Y"))</f>
        <v>3</v>
      </c>
      <c r="N185" t="str">
        <f>IF(HR_Table[[#This Row],[Age]]&lt;30,"Under 30",IF(HR_Table[[#This Row],[Age]]&lt;=40,"30-40","Above 40"))</f>
        <v>Above 40</v>
      </c>
      <c r="O185">
        <f>YEAR(HR_Table[[#This Row],[Joining_Date]])</f>
        <v>2023</v>
      </c>
    </row>
    <row r="186" spans="1:15" x14ac:dyDescent="0.3">
      <c r="A186" t="s">
        <v>196</v>
      </c>
      <c r="B186" t="s">
        <v>312</v>
      </c>
      <c r="C186">
        <v>50</v>
      </c>
      <c r="D186" t="s">
        <v>318</v>
      </c>
      <c r="E186" t="s">
        <v>320</v>
      </c>
      <c r="F186" t="s">
        <v>324</v>
      </c>
      <c r="G186">
        <v>55437</v>
      </c>
      <c r="H186" s="1">
        <v>42668</v>
      </c>
      <c r="J186">
        <v>2</v>
      </c>
      <c r="K186" t="s">
        <v>328</v>
      </c>
      <c r="L186" t="s">
        <v>329</v>
      </c>
      <c r="M186">
        <f ca="1">IF(HR_Table[[#This Row],[Exit_Date]]="",DATEDIF(HR_Table[[#This Row],[Joining_Date]],TODAY(),"Y"),DATEDIF(HR_Table[[#This Row],[Joining_Date]],HR_Table[[#This Row],[Exit_Date]],"Y"))</f>
        <v>9</v>
      </c>
      <c r="N186" t="str">
        <f>IF(HR_Table[[#This Row],[Age]]&lt;30,"Under 30",IF(HR_Table[[#This Row],[Age]]&lt;=40,"30-40","Above 40"))</f>
        <v>Above 40</v>
      </c>
      <c r="O186">
        <f>YEAR(HR_Table[[#This Row],[Joining_Date]])</f>
        <v>2016</v>
      </c>
    </row>
    <row r="187" spans="1:15" x14ac:dyDescent="0.3">
      <c r="A187" t="s">
        <v>197</v>
      </c>
      <c r="B187" t="s">
        <v>313</v>
      </c>
      <c r="C187">
        <v>44</v>
      </c>
      <c r="D187" t="s">
        <v>315</v>
      </c>
      <c r="E187" t="s">
        <v>320</v>
      </c>
      <c r="F187" t="s">
        <v>323</v>
      </c>
      <c r="G187">
        <v>74850</v>
      </c>
      <c r="H187" s="1">
        <v>42958</v>
      </c>
      <c r="J187">
        <v>3</v>
      </c>
      <c r="K187" t="s">
        <v>325</v>
      </c>
      <c r="L187" t="s">
        <v>329</v>
      </c>
      <c r="M187">
        <f ca="1">IF(HR_Table[[#This Row],[Exit_Date]]="",DATEDIF(HR_Table[[#This Row],[Joining_Date]],TODAY(),"Y"),DATEDIF(HR_Table[[#This Row],[Joining_Date]],HR_Table[[#This Row],[Exit_Date]],"Y"))</f>
        <v>8</v>
      </c>
      <c r="N187" t="str">
        <f>IF(HR_Table[[#This Row],[Age]]&lt;30,"Under 30",IF(HR_Table[[#This Row],[Age]]&lt;=40,"30-40","Above 40"))</f>
        <v>Above 40</v>
      </c>
      <c r="O187">
        <f>YEAR(HR_Table[[#This Row],[Joining_Date]])</f>
        <v>2017</v>
      </c>
    </row>
    <row r="188" spans="1:15" x14ac:dyDescent="0.3">
      <c r="A188" t="s">
        <v>198</v>
      </c>
      <c r="B188" t="s">
        <v>313</v>
      </c>
      <c r="C188">
        <v>50</v>
      </c>
      <c r="D188" t="s">
        <v>317</v>
      </c>
      <c r="E188" t="s">
        <v>321</v>
      </c>
      <c r="F188" t="s">
        <v>323</v>
      </c>
      <c r="G188">
        <v>31344</v>
      </c>
      <c r="H188" s="1">
        <v>43360</v>
      </c>
      <c r="J188">
        <v>1</v>
      </c>
      <c r="K188" t="s">
        <v>328</v>
      </c>
      <c r="L188" t="s">
        <v>329</v>
      </c>
      <c r="M188">
        <f ca="1">IF(HR_Table[[#This Row],[Exit_Date]]="",DATEDIF(HR_Table[[#This Row],[Joining_Date]],TODAY(),"Y"),DATEDIF(HR_Table[[#This Row],[Joining_Date]],HR_Table[[#This Row],[Exit_Date]],"Y"))</f>
        <v>7</v>
      </c>
      <c r="N188" t="str">
        <f>IF(HR_Table[[#This Row],[Age]]&lt;30,"Under 30",IF(HR_Table[[#This Row],[Age]]&lt;=40,"30-40","Above 40"))</f>
        <v>Above 40</v>
      </c>
      <c r="O188">
        <f>YEAR(HR_Table[[#This Row],[Joining_Date]])</f>
        <v>2018</v>
      </c>
    </row>
    <row r="189" spans="1:15" x14ac:dyDescent="0.3">
      <c r="A189" t="s">
        <v>199</v>
      </c>
      <c r="B189" t="s">
        <v>312</v>
      </c>
      <c r="C189">
        <v>42</v>
      </c>
      <c r="D189" t="s">
        <v>318</v>
      </c>
      <c r="E189" t="s">
        <v>320</v>
      </c>
      <c r="F189" t="s">
        <v>323</v>
      </c>
      <c r="G189">
        <v>75011</v>
      </c>
      <c r="H189" s="1">
        <v>44890</v>
      </c>
      <c r="J189">
        <v>2</v>
      </c>
      <c r="K189" t="s">
        <v>326</v>
      </c>
      <c r="L189" t="s">
        <v>329</v>
      </c>
      <c r="M189">
        <f ca="1">IF(HR_Table[[#This Row],[Exit_Date]]="",DATEDIF(HR_Table[[#This Row],[Joining_Date]],TODAY(),"Y"),DATEDIF(HR_Table[[#This Row],[Joining_Date]],HR_Table[[#This Row],[Exit_Date]],"Y"))</f>
        <v>3</v>
      </c>
      <c r="N189" t="str">
        <f>IF(HR_Table[[#This Row],[Age]]&lt;30,"Under 30",IF(HR_Table[[#This Row],[Age]]&lt;=40,"30-40","Above 40"))</f>
        <v>Above 40</v>
      </c>
      <c r="O189">
        <f>YEAR(HR_Table[[#This Row],[Joining_Date]])</f>
        <v>2022</v>
      </c>
    </row>
    <row r="190" spans="1:15" x14ac:dyDescent="0.3">
      <c r="A190" t="s">
        <v>200</v>
      </c>
      <c r="B190" t="s">
        <v>313</v>
      </c>
      <c r="C190">
        <v>53</v>
      </c>
      <c r="D190" t="s">
        <v>315</v>
      </c>
      <c r="E190" t="s">
        <v>319</v>
      </c>
      <c r="F190" t="s">
        <v>323</v>
      </c>
      <c r="G190">
        <v>86946</v>
      </c>
      <c r="H190" s="1">
        <v>44282</v>
      </c>
      <c r="J190">
        <v>4</v>
      </c>
      <c r="K190" t="s">
        <v>326</v>
      </c>
      <c r="L190" t="s">
        <v>329</v>
      </c>
      <c r="M190">
        <f ca="1">IF(HR_Table[[#This Row],[Exit_Date]]="",DATEDIF(HR_Table[[#This Row],[Joining_Date]],TODAY(),"Y"),DATEDIF(HR_Table[[#This Row],[Joining_Date]],HR_Table[[#This Row],[Exit_Date]],"Y"))</f>
        <v>4</v>
      </c>
      <c r="N190" t="str">
        <f>IF(HR_Table[[#This Row],[Age]]&lt;30,"Under 30",IF(HR_Table[[#This Row],[Age]]&lt;=40,"30-40","Above 40"))</f>
        <v>Above 40</v>
      </c>
      <c r="O190">
        <f>YEAR(HR_Table[[#This Row],[Joining_Date]])</f>
        <v>2021</v>
      </c>
    </row>
    <row r="191" spans="1:15" x14ac:dyDescent="0.3">
      <c r="A191" t="s">
        <v>201</v>
      </c>
      <c r="B191" t="s">
        <v>312</v>
      </c>
      <c r="C191">
        <v>25</v>
      </c>
      <c r="D191" t="s">
        <v>316</v>
      </c>
      <c r="E191" t="s">
        <v>320</v>
      </c>
      <c r="F191" t="s">
        <v>324</v>
      </c>
      <c r="G191">
        <v>64158</v>
      </c>
      <c r="H191" s="1">
        <v>43251</v>
      </c>
      <c r="J191">
        <v>4</v>
      </c>
      <c r="K191" t="s">
        <v>328</v>
      </c>
      <c r="L191" t="s">
        <v>329</v>
      </c>
      <c r="M191">
        <f ca="1">IF(HR_Table[[#This Row],[Exit_Date]]="",DATEDIF(HR_Table[[#This Row],[Joining_Date]],TODAY(),"Y"),DATEDIF(HR_Table[[#This Row],[Joining_Date]],HR_Table[[#This Row],[Exit_Date]],"Y"))</f>
        <v>7</v>
      </c>
      <c r="N191" t="str">
        <f>IF(HR_Table[[#This Row],[Age]]&lt;30,"Under 30",IF(HR_Table[[#This Row],[Age]]&lt;=40,"30-40","Above 40"))</f>
        <v>Under 30</v>
      </c>
      <c r="O191">
        <f>YEAR(HR_Table[[#This Row],[Joining_Date]])</f>
        <v>2018</v>
      </c>
    </row>
    <row r="192" spans="1:15" x14ac:dyDescent="0.3">
      <c r="A192" t="s">
        <v>202</v>
      </c>
      <c r="B192" t="s">
        <v>313</v>
      </c>
      <c r="C192">
        <v>30</v>
      </c>
      <c r="D192" t="s">
        <v>315</v>
      </c>
      <c r="E192" t="s">
        <v>320</v>
      </c>
      <c r="F192" t="s">
        <v>324</v>
      </c>
      <c r="G192">
        <v>75060</v>
      </c>
      <c r="H192" s="1">
        <v>42403</v>
      </c>
      <c r="J192">
        <v>4</v>
      </c>
      <c r="K192" t="s">
        <v>328</v>
      </c>
      <c r="L192" t="s">
        <v>329</v>
      </c>
      <c r="M192">
        <f ca="1">IF(HR_Table[[#This Row],[Exit_Date]]="",DATEDIF(HR_Table[[#This Row],[Joining_Date]],TODAY(),"Y"),DATEDIF(HR_Table[[#This Row],[Joining_Date]],HR_Table[[#This Row],[Exit_Date]],"Y"))</f>
        <v>10</v>
      </c>
      <c r="N192" t="str">
        <f>IF(HR_Table[[#This Row],[Age]]&lt;30,"Under 30",IF(HR_Table[[#This Row],[Age]]&lt;=40,"30-40","Above 40"))</f>
        <v>30-40</v>
      </c>
      <c r="O192">
        <f>YEAR(HR_Table[[#This Row],[Joining_Date]])</f>
        <v>2016</v>
      </c>
    </row>
    <row r="193" spans="1:15" x14ac:dyDescent="0.3">
      <c r="A193" t="s">
        <v>203</v>
      </c>
      <c r="B193" t="s">
        <v>312</v>
      </c>
      <c r="C193">
        <v>45</v>
      </c>
      <c r="D193" t="s">
        <v>314</v>
      </c>
      <c r="E193" t="s">
        <v>320</v>
      </c>
      <c r="F193" t="s">
        <v>323</v>
      </c>
      <c r="G193">
        <v>50319</v>
      </c>
      <c r="H193" s="1">
        <v>44010</v>
      </c>
      <c r="I193" s="1">
        <v>45460</v>
      </c>
      <c r="J193">
        <v>5</v>
      </c>
      <c r="K193" t="s">
        <v>326</v>
      </c>
      <c r="L193" t="s">
        <v>330</v>
      </c>
      <c r="M193">
        <f ca="1">IF(HR_Table[[#This Row],[Exit_Date]]="",DATEDIF(HR_Table[[#This Row],[Joining_Date]],TODAY(),"Y"),DATEDIF(HR_Table[[#This Row],[Joining_Date]],HR_Table[[#This Row],[Exit_Date]],"Y"))</f>
        <v>3</v>
      </c>
      <c r="N193" t="str">
        <f>IF(HR_Table[[#This Row],[Age]]&lt;30,"Under 30",IF(HR_Table[[#This Row],[Age]]&lt;=40,"30-40","Above 40"))</f>
        <v>Above 40</v>
      </c>
      <c r="O193">
        <f>YEAR(HR_Table[[#This Row],[Joining_Date]])</f>
        <v>2020</v>
      </c>
    </row>
    <row r="194" spans="1:15" x14ac:dyDescent="0.3">
      <c r="A194" t="s">
        <v>204</v>
      </c>
      <c r="B194" t="s">
        <v>312</v>
      </c>
      <c r="C194">
        <v>30</v>
      </c>
      <c r="D194" t="s">
        <v>315</v>
      </c>
      <c r="E194" t="s">
        <v>319</v>
      </c>
      <c r="F194" t="s">
        <v>324</v>
      </c>
      <c r="G194">
        <v>49457</v>
      </c>
      <c r="H194" s="1">
        <v>43515</v>
      </c>
      <c r="J194">
        <v>3</v>
      </c>
      <c r="K194" t="s">
        <v>328</v>
      </c>
      <c r="L194" t="s">
        <v>329</v>
      </c>
      <c r="M194">
        <f ca="1">IF(HR_Table[[#This Row],[Exit_Date]]="",DATEDIF(HR_Table[[#This Row],[Joining_Date]],TODAY(),"Y"),DATEDIF(HR_Table[[#This Row],[Joining_Date]],HR_Table[[#This Row],[Exit_Date]],"Y"))</f>
        <v>7</v>
      </c>
      <c r="N194" t="str">
        <f>IF(HR_Table[[#This Row],[Age]]&lt;30,"Under 30",IF(HR_Table[[#This Row],[Age]]&lt;=40,"30-40","Above 40"))</f>
        <v>30-40</v>
      </c>
      <c r="O194">
        <f>YEAR(HR_Table[[#This Row],[Joining_Date]])</f>
        <v>2019</v>
      </c>
    </row>
    <row r="195" spans="1:15" x14ac:dyDescent="0.3">
      <c r="A195" t="s">
        <v>205</v>
      </c>
      <c r="B195" t="s">
        <v>313</v>
      </c>
      <c r="C195">
        <v>54</v>
      </c>
      <c r="D195" t="s">
        <v>316</v>
      </c>
      <c r="E195" t="s">
        <v>319</v>
      </c>
      <c r="F195" t="s">
        <v>323</v>
      </c>
      <c r="G195">
        <v>27550</v>
      </c>
      <c r="H195" s="1">
        <v>43185</v>
      </c>
      <c r="J195">
        <v>2</v>
      </c>
      <c r="K195" t="s">
        <v>328</v>
      </c>
      <c r="L195" t="s">
        <v>329</v>
      </c>
      <c r="M195">
        <f ca="1">IF(HR_Table[[#This Row],[Exit_Date]]="",DATEDIF(HR_Table[[#This Row],[Joining_Date]],TODAY(),"Y"),DATEDIF(HR_Table[[#This Row],[Joining_Date]],HR_Table[[#This Row],[Exit_Date]],"Y"))</f>
        <v>7</v>
      </c>
      <c r="N195" t="str">
        <f>IF(HR_Table[[#This Row],[Age]]&lt;30,"Under 30",IF(HR_Table[[#This Row],[Age]]&lt;=40,"30-40","Above 40"))</f>
        <v>Above 40</v>
      </c>
      <c r="O195">
        <f>YEAR(HR_Table[[#This Row],[Joining_Date]])</f>
        <v>2018</v>
      </c>
    </row>
    <row r="196" spans="1:15" x14ac:dyDescent="0.3">
      <c r="A196" t="s">
        <v>206</v>
      </c>
      <c r="B196" t="s">
        <v>312</v>
      </c>
      <c r="C196">
        <v>42</v>
      </c>
      <c r="D196" t="s">
        <v>318</v>
      </c>
      <c r="E196" t="s">
        <v>320</v>
      </c>
      <c r="F196" t="s">
        <v>323</v>
      </c>
      <c r="G196">
        <v>50752</v>
      </c>
      <c r="H196" s="1">
        <v>44497</v>
      </c>
      <c r="J196">
        <v>5</v>
      </c>
      <c r="K196" t="s">
        <v>328</v>
      </c>
      <c r="L196" t="s">
        <v>329</v>
      </c>
      <c r="M196">
        <f ca="1">IF(HR_Table[[#This Row],[Exit_Date]]="",DATEDIF(HR_Table[[#This Row],[Joining_Date]],TODAY(),"Y"),DATEDIF(HR_Table[[#This Row],[Joining_Date]],HR_Table[[#This Row],[Exit_Date]],"Y"))</f>
        <v>4</v>
      </c>
      <c r="N196" t="str">
        <f>IF(HR_Table[[#This Row],[Age]]&lt;30,"Under 30",IF(HR_Table[[#This Row],[Age]]&lt;=40,"30-40","Above 40"))</f>
        <v>Above 40</v>
      </c>
      <c r="O196">
        <f>YEAR(HR_Table[[#This Row],[Joining_Date]])</f>
        <v>2021</v>
      </c>
    </row>
    <row r="197" spans="1:15" x14ac:dyDescent="0.3">
      <c r="A197" t="s">
        <v>207</v>
      </c>
      <c r="B197" t="s">
        <v>313</v>
      </c>
      <c r="C197">
        <v>41</v>
      </c>
      <c r="D197" t="s">
        <v>315</v>
      </c>
      <c r="E197" t="s">
        <v>320</v>
      </c>
      <c r="F197" t="s">
        <v>323</v>
      </c>
      <c r="G197">
        <v>49140</v>
      </c>
      <c r="H197" s="1">
        <v>43747</v>
      </c>
      <c r="J197">
        <v>3</v>
      </c>
      <c r="K197" t="s">
        <v>325</v>
      </c>
      <c r="L197" t="s">
        <v>329</v>
      </c>
      <c r="M197">
        <f ca="1">IF(HR_Table[[#This Row],[Exit_Date]]="",DATEDIF(HR_Table[[#This Row],[Joining_Date]],TODAY(),"Y"),DATEDIF(HR_Table[[#This Row],[Joining_Date]],HR_Table[[#This Row],[Exit_Date]],"Y"))</f>
        <v>6</v>
      </c>
      <c r="N197" t="str">
        <f>IF(HR_Table[[#This Row],[Age]]&lt;30,"Under 30",IF(HR_Table[[#This Row],[Age]]&lt;=40,"30-40","Above 40"))</f>
        <v>Above 40</v>
      </c>
      <c r="O197">
        <f>YEAR(HR_Table[[#This Row],[Joining_Date]])</f>
        <v>2019</v>
      </c>
    </row>
    <row r="198" spans="1:15" x14ac:dyDescent="0.3">
      <c r="A198" t="s">
        <v>208</v>
      </c>
      <c r="B198" t="s">
        <v>312</v>
      </c>
      <c r="C198">
        <v>52</v>
      </c>
      <c r="D198" t="s">
        <v>318</v>
      </c>
      <c r="E198" t="s">
        <v>320</v>
      </c>
      <c r="F198" t="s">
        <v>323</v>
      </c>
      <c r="G198">
        <v>72277</v>
      </c>
      <c r="H198" s="1">
        <v>44760</v>
      </c>
      <c r="J198">
        <v>1</v>
      </c>
      <c r="K198" t="s">
        <v>326</v>
      </c>
      <c r="L198" t="s">
        <v>329</v>
      </c>
      <c r="M198">
        <f ca="1">IF(HR_Table[[#This Row],[Exit_Date]]="",DATEDIF(HR_Table[[#This Row],[Joining_Date]],TODAY(),"Y"),DATEDIF(HR_Table[[#This Row],[Joining_Date]],HR_Table[[#This Row],[Exit_Date]],"Y"))</f>
        <v>3</v>
      </c>
      <c r="N198" t="str">
        <f>IF(HR_Table[[#This Row],[Age]]&lt;30,"Under 30",IF(HR_Table[[#This Row],[Age]]&lt;=40,"30-40","Above 40"))</f>
        <v>Above 40</v>
      </c>
      <c r="O198">
        <f>YEAR(HR_Table[[#This Row],[Joining_Date]])</f>
        <v>2022</v>
      </c>
    </row>
    <row r="199" spans="1:15" x14ac:dyDescent="0.3">
      <c r="A199" t="s">
        <v>209</v>
      </c>
      <c r="B199" t="s">
        <v>313</v>
      </c>
      <c r="C199">
        <v>31</v>
      </c>
      <c r="D199" t="s">
        <v>316</v>
      </c>
      <c r="E199" t="s">
        <v>319</v>
      </c>
      <c r="F199" t="s">
        <v>323</v>
      </c>
      <c r="G199">
        <v>62523</v>
      </c>
      <c r="H199" s="1">
        <v>44517</v>
      </c>
      <c r="J199">
        <v>1</v>
      </c>
      <c r="K199" t="s">
        <v>327</v>
      </c>
      <c r="L199" t="s">
        <v>329</v>
      </c>
      <c r="M199">
        <f ca="1">IF(HR_Table[[#This Row],[Exit_Date]]="",DATEDIF(HR_Table[[#This Row],[Joining_Date]],TODAY(),"Y"),DATEDIF(HR_Table[[#This Row],[Joining_Date]],HR_Table[[#This Row],[Exit_Date]],"Y"))</f>
        <v>4</v>
      </c>
      <c r="N199" t="str">
        <f>IF(HR_Table[[#This Row],[Age]]&lt;30,"Under 30",IF(HR_Table[[#This Row],[Age]]&lt;=40,"30-40","Above 40"))</f>
        <v>30-40</v>
      </c>
      <c r="O199">
        <f>YEAR(HR_Table[[#This Row],[Joining_Date]])</f>
        <v>2021</v>
      </c>
    </row>
    <row r="200" spans="1:15" x14ac:dyDescent="0.3">
      <c r="A200" t="s">
        <v>210</v>
      </c>
      <c r="B200" t="s">
        <v>312</v>
      </c>
      <c r="C200">
        <v>48</v>
      </c>
      <c r="D200" t="s">
        <v>314</v>
      </c>
      <c r="E200" t="s">
        <v>319</v>
      </c>
      <c r="F200" t="s">
        <v>324</v>
      </c>
      <c r="G200">
        <v>57887</v>
      </c>
      <c r="H200" s="1">
        <v>44176</v>
      </c>
      <c r="J200">
        <v>5</v>
      </c>
      <c r="K200" t="s">
        <v>326</v>
      </c>
      <c r="L200" t="s">
        <v>329</v>
      </c>
      <c r="M200">
        <f ca="1">IF(HR_Table[[#This Row],[Exit_Date]]="",DATEDIF(HR_Table[[#This Row],[Joining_Date]],TODAY(),"Y"),DATEDIF(HR_Table[[#This Row],[Joining_Date]],HR_Table[[#This Row],[Exit_Date]],"Y"))</f>
        <v>5</v>
      </c>
      <c r="N200" t="str">
        <f>IF(HR_Table[[#This Row],[Age]]&lt;30,"Under 30",IF(HR_Table[[#This Row],[Age]]&lt;=40,"30-40","Above 40"))</f>
        <v>Above 40</v>
      </c>
      <c r="O200">
        <f>YEAR(HR_Table[[#This Row],[Joining_Date]])</f>
        <v>2020</v>
      </c>
    </row>
    <row r="201" spans="1:15" x14ac:dyDescent="0.3">
      <c r="A201" t="s">
        <v>211</v>
      </c>
      <c r="B201" t="s">
        <v>313</v>
      </c>
      <c r="C201">
        <v>52</v>
      </c>
      <c r="D201" t="s">
        <v>314</v>
      </c>
      <c r="E201" t="s">
        <v>320</v>
      </c>
      <c r="F201" t="s">
        <v>324</v>
      </c>
      <c r="G201">
        <v>87697</v>
      </c>
      <c r="H201" s="1">
        <v>45260</v>
      </c>
      <c r="J201">
        <v>2</v>
      </c>
      <c r="K201" t="s">
        <v>326</v>
      </c>
      <c r="L201" t="s">
        <v>329</v>
      </c>
      <c r="M201">
        <f ca="1">IF(HR_Table[[#This Row],[Exit_Date]]="",DATEDIF(HR_Table[[#This Row],[Joining_Date]],TODAY(),"Y"),DATEDIF(HR_Table[[#This Row],[Joining_Date]],HR_Table[[#This Row],[Exit_Date]],"Y"))</f>
        <v>2</v>
      </c>
      <c r="N201" t="str">
        <f>IF(HR_Table[[#This Row],[Age]]&lt;30,"Under 30",IF(HR_Table[[#This Row],[Age]]&lt;=40,"30-40","Above 40"))</f>
        <v>Above 40</v>
      </c>
      <c r="O201">
        <f>YEAR(HR_Table[[#This Row],[Joining_Date]])</f>
        <v>2023</v>
      </c>
    </row>
    <row r="202" spans="1:15" x14ac:dyDescent="0.3">
      <c r="A202" t="s">
        <v>212</v>
      </c>
      <c r="B202" t="s">
        <v>313</v>
      </c>
      <c r="C202">
        <v>52</v>
      </c>
      <c r="D202" t="s">
        <v>315</v>
      </c>
      <c r="E202" t="s">
        <v>319</v>
      </c>
      <c r="F202" t="s">
        <v>323</v>
      </c>
      <c r="G202">
        <v>43284</v>
      </c>
      <c r="H202" s="1">
        <v>43772</v>
      </c>
      <c r="J202">
        <v>5</v>
      </c>
      <c r="K202" t="s">
        <v>328</v>
      </c>
      <c r="L202" t="s">
        <v>329</v>
      </c>
      <c r="M202">
        <f ca="1">IF(HR_Table[[#This Row],[Exit_Date]]="",DATEDIF(HR_Table[[#This Row],[Joining_Date]],TODAY(),"Y"),DATEDIF(HR_Table[[#This Row],[Joining_Date]],HR_Table[[#This Row],[Exit_Date]],"Y"))</f>
        <v>6</v>
      </c>
      <c r="N202" t="str">
        <f>IF(HR_Table[[#This Row],[Age]]&lt;30,"Under 30",IF(HR_Table[[#This Row],[Age]]&lt;=40,"30-40","Above 40"))</f>
        <v>Above 40</v>
      </c>
      <c r="O202">
        <f>YEAR(HR_Table[[#This Row],[Joining_Date]])</f>
        <v>2019</v>
      </c>
    </row>
    <row r="203" spans="1:15" x14ac:dyDescent="0.3">
      <c r="A203" t="s">
        <v>213</v>
      </c>
      <c r="B203" t="s">
        <v>312</v>
      </c>
      <c r="C203">
        <v>53</v>
      </c>
      <c r="D203" t="s">
        <v>316</v>
      </c>
      <c r="E203" t="s">
        <v>320</v>
      </c>
      <c r="F203" t="s">
        <v>324</v>
      </c>
      <c r="G203">
        <v>47859</v>
      </c>
      <c r="H203" s="1">
        <v>43589</v>
      </c>
      <c r="J203">
        <v>5</v>
      </c>
      <c r="K203" t="s">
        <v>328</v>
      </c>
      <c r="L203" t="s">
        <v>329</v>
      </c>
      <c r="M203">
        <f ca="1">IF(HR_Table[[#This Row],[Exit_Date]]="",DATEDIF(HR_Table[[#This Row],[Joining_Date]],TODAY(),"Y"),DATEDIF(HR_Table[[#This Row],[Joining_Date]],HR_Table[[#This Row],[Exit_Date]],"Y"))</f>
        <v>6</v>
      </c>
      <c r="N203" t="str">
        <f>IF(HR_Table[[#This Row],[Age]]&lt;30,"Under 30",IF(HR_Table[[#This Row],[Age]]&lt;=40,"30-40","Above 40"))</f>
        <v>Above 40</v>
      </c>
      <c r="O203">
        <f>YEAR(HR_Table[[#This Row],[Joining_Date]])</f>
        <v>2019</v>
      </c>
    </row>
    <row r="204" spans="1:15" x14ac:dyDescent="0.3">
      <c r="A204" t="s">
        <v>214</v>
      </c>
      <c r="B204" t="s">
        <v>313</v>
      </c>
      <c r="C204">
        <v>47</v>
      </c>
      <c r="D204" t="s">
        <v>317</v>
      </c>
      <c r="E204" t="s">
        <v>322</v>
      </c>
      <c r="F204" t="s">
        <v>323</v>
      </c>
      <c r="G204">
        <v>44035</v>
      </c>
      <c r="H204" s="1">
        <v>42869</v>
      </c>
      <c r="J204">
        <v>1</v>
      </c>
      <c r="K204" t="s">
        <v>328</v>
      </c>
      <c r="L204" t="s">
        <v>329</v>
      </c>
      <c r="M204">
        <f ca="1">IF(HR_Table[[#This Row],[Exit_Date]]="",DATEDIF(HR_Table[[#This Row],[Joining_Date]],TODAY(),"Y"),DATEDIF(HR_Table[[#This Row],[Joining_Date]],HR_Table[[#This Row],[Exit_Date]],"Y"))</f>
        <v>8</v>
      </c>
      <c r="N204" t="str">
        <f>IF(HR_Table[[#This Row],[Age]]&lt;30,"Under 30",IF(HR_Table[[#This Row],[Age]]&lt;=40,"30-40","Above 40"))</f>
        <v>Above 40</v>
      </c>
      <c r="O204">
        <f>YEAR(HR_Table[[#This Row],[Joining_Date]])</f>
        <v>2017</v>
      </c>
    </row>
    <row r="205" spans="1:15" x14ac:dyDescent="0.3">
      <c r="A205" t="s">
        <v>215</v>
      </c>
      <c r="B205" t="s">
        <v>313</v>
      </c>
      <c r="C205">
        <v>52</v>
      </c>
      <c r="D205" t="s">
        <v>314</v>
      </c>
      <c r="E205" t="s">
        <v>319</v>
      </c>
      <c r="F205" t="s">
        <v>323</v>
      </c>
      <c r="G205">
        <v>79260</v>
      </c>
      <c r="H205" s="1">
        <v>43788</v>
      </c>
      <c r="J205">
        <v>5</v>
      </c>
      <c r="K205" t="s">
        <v>328</v>
      </c>
      <c r="L205" t="s">
        <v>329</v>
      </c>
      <c r="M205">
        <f ca="1">IF(HR_Table[[#This Row],[Exit_Date]]="",DATEDIF(HR_Table[[#This Row],[Joining_Date]],TODAY(),"Y"),DATEDIF(HR_Table[[#This Row],[Joining_Date]],HR_Table[[#This Row],[Exit_Date]],"Y"))</f>
        <v>6</v>
      </c>
      <c r="N205" t="str">
        <f>IF(HR_Table[[#This Row],[Age]]&lt;30,"Under 30",IF(HR_Table[[#This Row],[Age]]&lt;=40,"30-40","Above 40"))</f>
        <v>Above 40</v>
      </c>
      <c r="O205">
        <f>YEAR(HR_Table[[#This Row],[Joining_Date]])</f>
        <v>2019</v>
      </c>
    </row>
    <row r="206" spans="1:15" x14ac:dyDescent="0.3">
      <c r="A206" t="s">
        <v>216</v>
      </c>
      <c r="B206" t="s">
        <v>312</v>
      </c>
      <c r="C206">
        <v>37</v>
      </c>
      <c r="D206" t="s">
        <v>315</v>
      </c>
      <c r="E206" t="s">
        <v>319</v>
      </c>
      <c r="F206" t="s">
        <v>323</v>
      </c>
      <c r="G206">
        <v>68898</v>
      </c>
      <c r="H206" s="1">
        <v>45221</v>
      </c>
      <c r="J206">
        <v>5</v>
      </c>
      <c r="K206" t="s">
        <v>327</v>
      </c>
      <c r="L206" t="s">
        <v>329</v>
      </c>
      <c r="M206">
        <f ca="1">IF(HR_Table[[#This Row],[Exit_Date]]="",DATEDIF(HR_Table[[#This Row],[Joining_Date]],TODAY(),"Y"),DATEDIF(HR_Table[[#This Row],[Joining_Date]],HR_Table[[#This Row],[Exit_Date]],"Y"))</f>
        <v>2</v>
      </c>
      <c r="N206" t="str">
        <f>IF(HR_Table[[#This Row],[Age]]&lt;30,"Under 30",IF(HR_Table[[#This Row],[Age]]&lt;=40,"30-40","Above 40"))</f>
        <v>30-40</v>
      </c>
      <c r="O206">
        <f>YEAR(HR_Table[[#This Row],[Joining_Date]])</f>
        <v>2023</v>
      </c>
    </row>
    <row r="207" spans="1:15" x14ac:dyDescent="0.3">
      <c r="A207" t="s">
        <v>217</v>
      </c>
      <c r="B207" t="s">
        <v>313</v>
      </c>
      <c r="C207">
        <v>28</v>
      </c>
      <c r="D207" t="s">
        <v>316</v>
      </c>
      <c r="E207" t="s">
        <v>319</v>
      </c>
      <c r="F207" t="s">
        <v>323</v>
      </c>
      <c r="G207">
        <v>88210</v>
      </c>
      <c r="H207" s="1">
        <v>42585</v>
      </c>
      <c r="I207" s="1">
        <v>43561</v>
      </c>
      <c r="J207">
        <v>5</v>
      </c>
      <c r="K207" t="s">
        <v>327</v>
      </c>
      <c r="L207" t="s">
        <v>330</v>
      </c>
      <c r="M207">
        <f ca="1">IF(HR_Table[[#This Row],[Exit_Date]]="",DATEDIF(HR_Table[[#This Row],[Joining_Date]],TODAY(),"Y"),DATEDIF(HR_Table[[#This Row],[Joining_Date]],HR_Table[[#This Row],[Exit_Date]],"Y"))</f>
        <v>2</v>
      </c>
      <c r="N207" t="str">
        <f>IF(HR_Table[[#This Row],[Age]]&lt;30,"Under 30",IF(HR_Table[[#This Row],[Age]]&lt;=40,"30-40","Above 40"))</f>
        <v>Under 30</v>
      </c>
      <c r="O207">
        <f>YEAR(HR_Table[[#This Row],[Joining_Date]])</f>
        <v>2016</v>
      </c>
    </row>
    <row r="208" spans="1:15" x14ac:dyDescent="0.3">
      <c r="A208" t="s">
        <v>218</v>
      </c>
      <c r="B208" t="s">
        <v>313</v>
      </c>
      <c r="C208">
        <v>52</v>
      </c>
      <c r="D208" t="s">
        <v>318</v>
      </c>
      <c r="E208" t="s">
        <v>321</v>
      </c>
      <c r="F208" t="s">
        <v>324</v>
      </c>
      <c r="G208">
        <v>46048</v>
      </c>
      <c r="H208" s="1">
        <v>45044</v>
      </c>
      <c r="J208">
        <v>3</v>
      </c>
      <c r="K208" t="s">
        <v>325</v>
      </c>
      <c r="L208" t="s">
        <v>329</v>
      </c>
      <c r="M208">
        <f ca="1">IF(HR_Table[[#This Row],[Exit_Date]]="",DATEDIF(HR_Table[[#This Row],[Joining_Date]],TODAY(),"Y"),DATEDIF(HR_Table[[#This Row],[Joining_Date]],HR_Table[[#This Row],[Exit_Date]],"Y"))</f>
        <v>2</v>
      </c>
      <c r="N208" t="str">
        <f>IF(HR_Table[[#This Row],[Age]]&lt;30,"Under 30",IF(HR_Table[[#This Row],[Age]]&lt;=40,"30-40","Above 40"))</f>
        <v>Above 40</v>
      </c>
      <c r="O208">
        <f>YEAR(HR_Table[[#This Row],[Joining_Date]])</f>
        <v>2023</v>
      </c>
    </row>
    <row r="209" spans="1:15" x14ac:dyDescent="0.3">
      <c r="A209" t="s">
        <v>219</v>
      </c>
      <c r="B209" t="s">
        <v>312</v>
      </c>
      <c r="C209">
        <v>33</v>
      </c>
      <c r="D209" t="s">
        <v>314</v>
      </c>
      <c r="E209" t="s">
        <v>320</v>
      </c>
      <c r="F209" t="s">
        <v>323</v>
      </c>
      <c r="G209">
        <v>86205</v>
      </c>
      <c r="H209" s="1">
        <v>45041</v>
      </c>
      <c r="J209">
        <v>1</v>
      </c>
      <c r="K209" t="s">
        <v>326</v>
      </c>
      <c r="L209" t="s">
        <v>329</v>
      </c>
      <c r="M209">
        <f ca="1">IF(HR_Table[[#This Row],[Exit_Date]]="",DATEDIF(HR_Table[[#This Row],[Joining_Date]],TODAY(),"Y"),DATEDIF(HR_Table[[#This Row],[Joining_Date]],HR_Table[[#This Row],[Exit_Date]],"Y"))</f>
        <v>2</v>
      </c>
      <c r="N209" t="str">
        <f>IF(HR_Table[[#This Row],[Age]]&lt;30,"Under 30",IF(HR_Table[[#This Row],[Age]]&lt;=40,"30-40","Above 40"))</f>
        <v>30-40</v>
      </c>
      <c r="O209">
        <f>YEAR(HR_Table[[#This Row],[Joining_Date]])</f>
        <v>2023</v>
      </c>
    </row>
    <row r="210" spans="1:15" x14ac:dyDescent="0.3">
      <c r="A210" t="s">
        <v>220</v>
      </c>
      <c r="B210" t="s">
        <v>313</v>
      </c>
      <c r="C210">
        <v>24</v>
      </c>
      <c r="D210" t="s">
        <v>318</v>
      </c>
      <c r="E210" t="s">
        <v>321</v>
      </c>
      <c r="F210" t="s">
        <v>324</v>
      </c>
      <c r="G210">
        <v>62221</v>
      </c>
      <c r="H210" s="1">
        <v>43133</v>
      </c>
      <c r="J210">
        <v>5</v>
      </c>
      <c r="K210" t="s">
        <v>325</v>
      </c>
      <c r="L210" t="s">
        <v>329</v>
      </c>
      <c r="M210">
        <f ca="1">IF(HR_Table[[#This Row],[Exit_Date]]="",DATEDIF(HR_Table[[#This Row],[Joining_Date]],TODAY(),"Y"),DATEDIF(HR_Table[[#This Row],[Joining_Date]],HR_Table[[#This Row],[Exit_Date]],"Y"))</f>
        <v>8</v>
      </c>
      <c r="N210" t="str">
        <f>IF(HR_Table[[#This Row],[Age]]&lt;30,"Under 30",IF(HR_Table[[#This Row],[Age]]&lt;=40,"30-40","Above 40"))</f>
        <v>Under 30</v>
      </c>
      <c r="O210">
        <f>YEAR(HR_Table[[#This Row],[Joining_Date]])</f>
        <v>2018</v>
      </c>
    </row>
    <row r="211" spans="1:15" x14ac:dyDescent="0.3">
      <c r="A211" t="s">
        <v>221</v>
      </c>
      <c r="B211" t="s">
        <v>313</v>
      </c>
      <c r="C211">
        <v>30</v>
      </c>
      <c r="D211" t="s">
        <v>317</v>
      </c>
      <c r="E211" t="s">
        <v>320</v>
      </c>
      <c r="F211" t="s">
        <v>324</v>
      </c>
      <c r="G211">
        <v>42880</v>
      </c>
      <c r="H211" s="1">
        <v>43535</v>
      </c>
      <c r="J211">
        <v>2</v>
      </c>
      <c r="K211" t="s">
        <v>325</v>
      </c>
      <c r="L211" t="s">
        <v>329</v>
      </c>
      <c r="M211">
        <f ca="1">IF(HR_Table[[#This Row],[Exit_Date]]="",DATEDIF(HR_Table[[#This Row],[Joining_Date]],TODAY(),"Y"),DATEDIF(HR_Table[[#This Row],[Joining_Date]],HR_Table[[#This Row],[Exit_Date]],"Y"))</f>
        <v>7</v>
      </c>
      <c r="N211" t="str">
        <f>IF(HR_Table[[#This Row],[Age]]&lt;30,"Under 30",IF(HR_Table[[#This Row],[Age]]&lt;=40,"30-40","Above 40"))</f>
        <v>30-40</v>
      </c>
      <c r="O211">
        <f>YEAR(HR_Table[[#This Row],[Joining_Date]])</f>
        <v>2019</v>
      </c>
    </row>
    <row r="212" spans="1:15" x14ac:dyDescent="0.3">
      <c r="A212" t="s">
        <v>222</v>
      </c>
      <c r="B212" t="s">
        <v>313</v>
      </c>
      <c r="C212">
        <v>33</v>
      </c>
      <c r="D212" t="s">
        <v>317</v>
      </c>
      <c r="E212" t="s">
        <v>321</v>
      </c>
      <c r="F212" t="s">
        <v>324</v>
      </c>
      <c r="G212">
        <v>76823</v>
      </c>
      <c r="H212" s="1">
        <v>43035</v>
      </c>
      <c r="J212">
        <v>3</v>
      </c>
      <c r="K212" t="s">
        <v>327</v>
      </c>
      <c r="L212" t="s">
        <v>329</v>
      </c>
      <c r="M212">
        <f ca="1">IF(HR_Table[[#This Row],[Exit_Date]]="",DATEDIF(HR_Table[[#This Row],[Joining_Date]],TODAY(),"Y"),DATEDIF(HR_Table[[#This Row],[Joining_Date]],HR_Table[[#This Row],[Exit_Date]],"Y"))</f>
        <v>8</v>
      </c>
      <c r="N212" t="str">
        <f>IF(HR_Table[[#This Row],[Age]]&lt;30,"Under 30",IF(HR_Table[[#This Row],[Age]]&lt;=40,"30-40","Above 40"))</f>
        <v>30-40</v>
      </c>
      <c r="O212">
        <f>YEAR(HR_Table[[#This Row],[Joining_Date]])</f>
        <v>2017</v>
      </c>
    </row>
    <row r="213" spans="1:15" x14ac:dyDescent="0.3">
      <c r="A213" t="s">
        <v>223</v>
      </c>
      <c r="B213" t="s">
        <v>313</v>
      </c>
      <c r="C213">
        <v>49</v>
      </c>
      <c r="D213" t="s">
        <v>316</v>
      </c>
      <c r="E213" t="s">
        <v>320</v>
      </c>
      <c r="F213" t="s">
        <v>323</v>
      </c>
      <c r="G213">
        <v>51269</v>
      </c>
      <c r="H213" s="1">
        <v>44872</v>
      </c>
      <c r="J213">
        <v>1</v>
      </c>
      <c r="K213" t="s">
        <v>327</v>
      </c>
      <c r="L213" t="s">
        <v>329</v>
      </c>
      <c r="M213">
        <f ca="1">IF(HR_Table[[#This Row],[Exit_Date]]="",DATEDIF(HR_Table[[#This Row],[Joining_Date]],TODAY(),"Y"),DATEDIF(HR_Table[[#This Row],[Joining_Date]],HR_Table[[#This Row],[Exit_Date]],"Y"))</f>
        <v>3</v>
      </c>
      <c r="N213" t="str">
        <f>IF(HR_Table[[#This Row],[Age]]&lt;30,"Under 30",IF(HR_Table[[#This Row],[Age]]&lt;=40,"30-40","Above 40"))</f>
        <v>Above 40</v>
      </c>
      <c r="O213">
        <f>YEAR(HR_Table[[#This Row],[Joining_Date]])</f>
        <v>2022</v>
      </c>
    </row>
    <row r="214" spans="1:15" x14ac:dyDescent="0.3">
      <c r="A214" t="s">
        <v>224</v>
      </c>
      <c r="B214" t="s">
        <v>312</v>
      </c>
      <c r="C214">
        <v>22</v>
      </c>
      <c r="D214" t="s">
        <v>316</v>
      </c>
      <c r="E214" t="s">
        <v>320</v>
      </c>
      <c r="F214" t="s">
        <v>324</v>
      </c>
      <c r="G214">
        <v>40435</v>
      </c>
      <c r="H214" s="1">
        <v>44325</v>
      </c>
      <c r="J214">
        <v>4</v>
      </c>
      <c r="K214" t="s">
        <v>328</v>
      </c>
      <c r="L214" t="s">
        <v>329</v>
      </c>
      <c r="M214">
        <f ca="1">IF(HR_Table[[#This Row],[Exit_Date]]="",DATEDIF(HR_Table[[#This Row],[Joining_Date]],TODAY(),"Y"),DATEDIF(HR_Table[[#This Row],[Joining_Date]],HR_Table[[#This Row],[Exit_Date]],"Y"))</f>
        <v>4</v>
      </c>
      <c r="N214" t="str">
        <f>IF(HR_Table[[#This Row],[Age]]&lt;30,"Under 30",IF(HR_Table[[#This Row],[Age]]&lt;=40,"30-40","Above 40"))</f>
        <v>Under 30</v>
      </c>
      <c r="O214">
        <f>YEAR(HR_Table[[#This Row],[Joining_Date]])</f>
        <v>2021</v>
      </c>
    </row>
    <row r="215" spans="1:15" x14ac:dyDescent="0.3">
      <c r="A215" t="s">
        <v>225</v>
      </c>
      <c r="B215" t="s">
        <v>312</v>
      </c>
      <c r="C215">
        <v>38</v>
      </c>
      <c r="D215" t="s">
        <v>317</v>
      </c>
      <c r="E215" t="s">
        <v>320</v>
      </c>
      <c r="F215" t="s">
        <v>324</v>
      </c>
      <c r="G215">
        <v>70401</v>
      </c>
      <c r="H215" s="1">
        <v>43606</v>
      </c>
      <c r="J215">
        <v>2</v>
      </c>
      <c r="K215" t="s">
        <v>325</v>
      </c>
      <c r="L215" t="s">
        <v>329</v>
      </c>
      <c r="M215">
        <f ca="1">IF(HR_Table[[#This Row],[Exit_Date]]="",DATEDIF(HR_Table[[#This Row],[Joining_Date]],TODAY(),"Y"),DATEDIF(HR_Table[[#This Row],[Joining_Date]],HR_Table[[#This Row],[Exit_Date]],"Y"))</f>
        <v>6</v>
      </c>
      <c r="N215" t="str">
        <f>IF(HR_Table[[#This Row],[Age]]&lt;30,"Under 30",IF(HR_Table[[#This Row],[Age]]&lt;=40,"30-40","Above 40"))</f>
        <v>30-40</v>
      </c>
      <c r="O215">
        <f>YEAR(HR_Table[[#This Row],[Joining_Date]])</f>
        <v>2019</v>
      </c>
    </row>
    <row r="216" spans="1:15" x14ac:dyDescent="0.3">
      <c r="A216" t="s">
        <v>226</v>
      </c>
      <c r="B216" t="s">
        <v>313</v>
      </c>
      <c r="C216">
        <v>54</v>
      </c>
      <c r="D216" t="s">
        <v>314</v>
      </c>
      <c r="E216" t="s">
        <v>320</v>
      </c>
      <c r="F216" t="s">
        <v>323</v>
      </c>
      <c r="G216">
        <v>66858</v>
      </c>
      <c r="H216" s="1">
        <v>44276</v>
      </c>
      <c r="J216">
        <v>3</v>
      </c>
      <c r="K216" t="s">
        <v>328</v>
      </c>
      <c r="L216" t="s">
        <v>329</v>
      </c>
      <c r="M216">
        <f ca="1">IF(HR_Table[[#This Row],[Exit_Date]]="",DATEDIF(HR_Table[[#This Row],[Joining_Date]],TODAY(),"Y"),DATEDIF(HR_Table[[#This Row],[Joining_Date]],HR_Table[[#This Row],[Exit_Date]],"Y"))</f>
        <v>4</v>
      </c>
      <c r="N216" t="str">
        <f>IF(HR_Table[[#This Row],[Age]]&lt;30,"Under 30",IF(HR_Table[[#This Row],[Age]]&lt;=40,"30-40","Above 40"))</f>
        <v>Above 40</v>
      </c>
      <c r="O216">
        <f>YEAR(HR_Table[[#This Row],[Joining_Date]])</f>
        <v>2021</v>
      </c>
    </row>
    <row r="217" spans="1:15" x14ac:dyDescent="0.3">
      <c r="A217" t="s">
        <v>227</v>
      </c>
      <c r="B217" t="s">
        <v>313</v>
      </c>
      <c r="C217">
        <v>31</v>
      </c>
      <c r="D217" t="s">
        <v>315</v>
      </c>
      <c r="E217" t="s">
        <v>320</v>
      </c>
      <c r="F217" t="s">
        <v>324</v>
      </c>
      <c r="G217">
        <v>52252</v>
      </c>
      <c r="H217" s="1">
        <v>43274</v>
      </c>
      <c r="I217" s="1">
        <v>43847</v>
      </c>
      <c r="J217">
        <v>5</v>
      </c>
      <c r="K217" t="s">
        <v>326</v>
      </c>
      <c r="L217" t="s">
        <v>330</v>
      </c>
      <c r="M217">
        <f ca="1">IF(HR_Table[[#This Row],[Exit_Date]]="",DATEDIF(HR_Table[[#This Row],[Joining_Date]],TODAY(),"Y"),DATEDIF(HR_Table[[#This Row],[Joining_Date]],HR_Table[[#This Row],[Exit_Date]],"Y"))</f>
        <v>1</v>
      </c>
      <c r="N217" t="str">
        <f>IF(HR_Table[[#This Row],[Age]]&lt;30,"Under 30",IF(HR_Table[[#This Row],[Age]]&lt;=40,"30-40","Above 40"))</f>
        <v>30-40</v>
      </c>
      <c r="O217">
        <f>YEAR(HR_Table[[#This Row],[Joining_Date]])</f>
        <v>2018</v>
      </c>
    </row>
    <row r="218" spans="1:15" x14ac:dyDescent="0.3">
      <c r="A218" t="s">
        <v>228</v>
      </c>
      <c r="B218" t="s">
        <v>312</v>
      </c>
      <c r="C218">
        <v>27</v>
      </c>
      <c r="D218" t="s">
        <v>315</v>
      </c>
      <c r="E218" t="s">
        <v>320</v>
      </c>
      <c r="F218" t="s">
        <v>324</v>
      </c>
      <c r="G218">
        <v>30118</v>
      </c>
      <c r="H218" s="1">
        <v>45090</v>
      </c>
      <c r="J218">
        <v>5</v>
      </c>
      <c r="K218" t="s">
        <v>325</v>
      </c>
      <c r="L218" t="s">
        <v>329</v>
      </c>
      <c r="M218">
        <f ca="1">IF(HR_Table[[#This Row],[Exit_Date]]="",DATEDIF(HR_Table[[#This Row],[Joining_Date]],TODAY(),"Y"),DATEDIF(HR_Table[[#This Row],[Joining_Date]],HR_Table[[#This Row],[Exit_Date]],"Y"))</f>
        <v>2</v>
      </c>
      <c r="N218" t="str">
        <f>IF(HR_Table[[#This Row],[Age]]&lt;30,"Under 30",IF(HR_Table[[#This Row],[Age]]&lt;=40,"30-40","Above 40"))</f>
        <v>Under 30</v>
      </c>
      <c r="O218">
        <f>YEAR(HR_Table[[#This Row],[Joining_Date]])</f>
        <v>2023</v>
      </c>
    </row>
    <row r="219" spans="1:15" x14ac:dyDescent="0.3">
      <c r="A219" t="s">
        <v>229</v>
      </c>
      <c r="B219" t="s">
        <v>312</v>
      </c>
      <c r="C219">
        <v>31</v>
      </c>
      <c r="D219" t="s">
        <v>314</v>
      </c>
      <c r="E219" t="s">
        <v>319</v>
      </c>
      <c r="F219" t="s">
        <v>324</v>
      </c>
      <c r="G219">
        <v>80999</v>
      </c>
      <c r="H219" s="1">
        <v>44613</v>
      </c>
      <c r="J219">
        <v>5</v>
      </c>
      <c r="K219" t="s">
        <v>326</v>
      </c>
      <c r="L219" t="s">
        <v>329</v>
      </c>
      <c r="M219">
        <f ca="1">IF(HR_Table[[#This Row],[Exit_Date]]="",DATEDIF(HR_Table[[#This Row],[Joining_Date]],TODAY(),"Y"),DATEDIF(HR_Table[[#This Row],[Joining_Date]],HR_Table[[#This Row],[Exit_Date]],"Y"))</f>
        <v>4</v>
      </c>
      <c r="N219" t="str">
        <f>IF(HR_Table[[#This Row],[Age]]&lt;30,"Under 30",IF(HR_Table[[#This Row],[Age]]&lt;=40,"30-40","Above 40"))</f>
        <v>30-40</v>
      </c>
      <c r="O219">
        <f>YEAR(HR_Table[[#This Row],[Joining_Date]])</f>
        <v>2022</v>
      </c>
    </row>
    <row r="220" spans="1:15" x14ac:dyDescent="0.3">
      <c r="A220" t="s">
        <v>230</v>
      </c>
      <c r="B220" t="s">
        <v>313</v>
      </c>
      <c r="C220">
        <v>27</v>
      </c>
      <c r="D220" t="s">
        <v>314</v>
      </c>
      <c r="E220" t="s">
        <v>320</v>
      </c>
      <c r="F220" t="s">
        <v>323</v>
      </c>
      <c r="G220">
        <v>54716</v>
      </c>
      <c r="H220" s="1">
        <v>45156</v>
      </c>
      <c r="J220">
        <v>2</v>
      </c>
      <c r="K220" t="s">
        <v>326</v>
      </c>
      <c r="L220" t="s">
        <v>329</v>
      </c>
      <c r="M220">
        <f ca="1">IF(HR_Table[[#This Row],[Exit_Date]]="",DATEDIF(HR_Table[[#This Row],[Joining_Date]],TODAY(),"Y"),DATEDIF(HR_Table[[#This Row],[Joining_Date]],HR_Table[[#This Row],[Exit_Date]],"Y"))</f>
        <v>2</v>
      </c>
      <c r="N220" t="str">
        <f>IF(HR_Table[[#This Row],[Age]]&lt;30,"Under 30",IF(HR_Table[[#This Row],[Age]]&lt;=40,"30-40","Above 40"))</f>
        <v>Under 30</v>
      </c>
      <c r="O220">
        <f>YEAR(HR_Table[[#This Row],[Joining_Date]])</f>
        <v>2023</v>
      </c>
    </row>
    <row r="221" spans="1:15" x14ac:dyDescent="0.3">
      <c r="A221" t="s">
        <v>231</v>
      </c>
      <c r="B221" t="s">
        <v>313</v>
      </c>
      <c r="C221">
        <v>23</v>
      </c>
      <c r="D221" t="s">
        <v>318</v>
      </c>
      <c r="E221" t="s">
        <v>320</v>
      </c>
      <c r="F221" t="s">
        <v>324</v>
      </c>
      <c r="G221">
        <v>78507</v>
      </c>
      <c r="H221" s="1">
        <v>44679</v>
      </c>
      <c r="J221">
        <v>1</v>
      </c>
      <c r="K221" t="s">
        <v>327</v>
      </c>
      <c r="L221" t="s">
        <v>329</v>
      </c>
      <c r="M221">
        <f ca="1">IF(HR_Table[[#This Row],[Exit_Date]]="",DATEDIF(HR_Table[[#This Row],[Joining_Date]],TODAY(),"Y"),DATEDIF(HR_Table[[#This Row],[Joining_Date]],HR_Table[[#This Row],[Exit_Date]],"Y"))</f>
        <v>3</v>
      </c>
      <c r="N221" t="str">
        <f>IF(HR_Table[[#This Row],[Age]]&lt;30,"Under 30",IF(HR_Table[[#This Row],[Age]]&lt;=40,"30-40","Above 40"))</f>
        <v>Under 30</v>
      </c>
      <c r="O221">
        <f>YEAR(HR_Table[[#This Row],[Joining_Date]])</f>
        <v>2022</v>
      </c>
    </row>
    <row r="222" spans="1:15" x14ac:dyDescent="0.3">
      <c r="A222" t="s">
        <v>232</v>
      </c>
      <c r="B222" t="s">
        <v>312</v>
      </c>
      <c r="C222">
        <v>25</v>
      </c>
      <c r="D222" t="s">
        <v>315</v>
      </c>
      <c r="E222" t="s">
        <v>319</v>
      </c>
      <c r="F222" t="s">
        <v>324</v>
      </c>
      <c r="G222">
        <v>27079</v>
      </c>
      <c r="H222" s="1">
        <v>42669</v>
      </c>
      <c r="I222" s="1">
        <v>43674</v>
      </c>
      <c r="J222">
        <v>3</v>
      </c>
      <c r="K222" t="s">
        <v>326</v>
      </c>
      <c r="L222" t="s">
        <v>330</v>
      </c>
      <c r="M222">
        <f ca="1">IF(HR_Table[[#This Row],[Exit_Date]]="",DATEDIF(HR_Table[[#This Row],[Joining_Date]],TODAY(),"Y"),DATEDIF(HR_Table[[#This Row],[Joining_Date]],HR_Table[[#This Row],[Exit_Date]],"Y"))</f>
        <v>2</v>
      </c>
      <c r="N222" t="str">
        <f>IF(HR_Table[[#This Row],[Age]]&lt;30,"Under 30",IF(HR_Table[[#This Row],[Age]]&lt;=40,"30-40","Above 40"))</f>
        <v>Under 30</v>
      </c>
      <c r="O222">
        <f>YEAR(HR_Table[[#This Row],[Joining_Date]])</f>
        <v>2016</v>
      </c>
    </row>
    <row r="223" spans="1:15" x14ac:dyDescent="0.3">
      <c r="A223" t="s">
        <v>233</v>
      </c>
      <c r="B223" t="s">
        <v>313</v>
      </c>
      <c r="C223">
        <v>45</v>
      </c>
      <c r="D223" t="s">
        <v>316</v>
      </c>
      <c r="E223" t="s">
        <v>320</v>
      </c>
      <c r="F223" t="s">
        <v>324</v>
      </c>
      <c r="G223">
        <v>81991</v>
      </c>
      <c r="H223" s="1">
        <v>42924</v>
      </c>
      <c r="J223">
        <v>4</v>
      </c>
      <c r="K223" t="s">
        <v>326</v>
      </c>
      <c r="L223" t="s">
        <v>329</v>
      </c>
      <c r="M223">
        <f ca="1">IF(HR_Table[[#This Row],[Exit_Date]]="",DATEDIF(HR_Table[[#This Row],[Joining_Date]],TODAY(),"Y"),DATEDIF(HR_Table[[#This Row],[Joining_Date]],HR_Table[[#This Row],[Exit_Date]],"Y"))</f>
        <v>8</v>
      </c>
      <c r="N223" t="str">
        <f>IF(HR_Table[[#This Row],[Age]]&lt;30,"Under 30",IF(HR_Table[[#This Row],[Age]]&lt;=40,"30-40","Above 40"))</f>
        <v>Above 40</v>
      </c>
      <c r="O223">
        <f>YEAR(HR_Table[[#This Row],[Joining_Date]])</f>
        <v>2017</v>
      </c>
    </row>
    <row r="224" spans="1:15" x14ac:dyDescent="0.3">
      <c r="A224" t="s">
        <v>234</v>
      </c>
      <c r="B224" t="s">
        <v>312</v>
      </c>
      <c r="C224">
        <v>44</v>
      </c>
      <c r="D224" t="s">
        <v>314</v>
      </c>
      <c r="E224" t="s">
        <v>319</v>
      </c>
      <c r="F224" t="s">
        <v>323</v>
      </c>
      <c r="G224">
        <v>60209</v>
      </c>
      <c r="H224" s="1">
        <v>45166</v>
      </c>
      <c r="J224">
        <v>4</v>
      </c>
      <c r="K224" t="s">
        <v>327</v>
      </c>
      <c r="L224" t="s">
        <v>329</v>
      </c>
      <c r="M224">
        <f ca="1">IF(HR_Table[[#This Row],[Exit_Date]]="",DATEDIF(HR_Table[[#This Row],[Joining_Date]],TODAY(),"Y"),DATEDIF(HR_Table[[#This Row],[Joining_Date]],HR_Table[[#This Row],[Exit_Date]],"Y"))</f>
        <v>2</v>
      </c>
      <c r="N224" t="str">
        <f>IF(HR_Table[[#This Row],[Age]]&lt;30,"Under 30",IF(HR_Table[[#This Row],[Age]]&lt;=40,"30-40","Above 40"))</f>
        <v>Above 40</v>
      </c>
      <c r="O224">
        <f>YEAR(HR_Table[[#This Row],[Joining_Date]])</f>
        <v>2023</v>
      </c>
    </row>
    <row r="225" spans="1:15" x14ac:dyDescent="0.3">
      <c r="A225" t="s">
        <v>235</v>
      </c>
      <c r="B225" t="s">
        <v>313</v>
      </c>
      <c r="C225">
        <v>51</v>
      </c>
      <c r="D225" t="s">
        <v>316</v>
      </c>
      <c r="E225" t="s">
        <v>320</v>
      </c>
      <c r="F225" t="s">
        <v>324</v>
      </c>
      <c r="G225">
        <v>78959</v>
      </c>
      <c r="H225" s="1">
        <v>42384</v>
      </c>
      <c r="J225">
        <v>2</v>
      </c>
      <c r="K225" t="s">
        <v>327</v>
      </c>
      <c r="L225" t="s">
        <v>329</v>
      </c>
      <c r="M225">
        <f ca="1">IF(HR_Table[[#This Row],[Exit_Date]]="",DATEDIF(HR_Table[[#This Row],[Joining_Date]],TODAY(),"Y"),DATEDIF(HR_Table[[#This Row],[Joining_Date]],HR_Table[[#This Row],[Exit_Date]],"Y"))</f>
        <v>10</v>
      </c>
      <c r="N225" t="str">
        <f>IF(HR_Table[[#This Row],[Age]]&lt;30,"Under 30",IF(HR_Table[[#This Row],[Age]]&lt;=40,"30-40","Above 40"))</f>
        <v>Above 40</v>
      </c>
      <c r="O225">
        <f>YEAR(HR_Table[[#This Row],[Joining_Date]])</f>
        <v>2016</v>
      </c>
    </row>
    <row r="226" spans="1:15" x14ac:dyDescent="0.3">
      <c r="A226" t="s">
        <v>236</v>
      </c>
      <c r="B226" t="s">
        <v>312</v>
      </c>
      <c r="C226">
        <v>24</v>
      </c>
      <c r="D226" t="s">
        <v>318</v>
      </c>
      <c r="E226" t="s">
        <v>320</v>
      </c>
      <c r="F226" t="s">
        <v>323</v>
      </c>
      <c r="G226">
        <v>40772</v>
      </c>
      <c r="H226" s="1">
        <v>43787</v>
      </c>
      <c r="I226" s="1">
        <v>44473</v>
      </c>
      <c r="J226">
        <v>2</v>
      </c>
      <c r="K226" t="s">
        <v>325</v>
      </c>
      <c r="L226" t="s">
        <v>330</v>
      </c>
      <c r="M226">
        <f ca="1">IF(HR_Table[[#This Row],[Exit_Date]]="",DATEDIF(HR_Table[[#This Row],[Joining_Date]],TODAY(),"Y"),DATEDIF(HR_Table[[#This Row],[Joining_Date]],HR_Table[[#This Row],[Exit_Date]],"Y"))</f>
        <v>1</v>
      </c>
      <c r="N226" t="str">
        <f>IF(HR_Table[[#This Row],[Age]]&lt;30,"Under 30",IF(HR_Table[[#This Row],[Age]]&lt;=40,"30-40","Above 40"))</f>
        <v>Under 30</v>
      </c>
      <c r="O226">
        <f>YEAR(HR_Table[[#This Row],[Joining_Date]])</f>
        <v>2019</v>
      </c>
    </row>
    <row r="227" spans="1:15" x14ac:dyDescent="0.3">
      <c r="A227" t="s">
        <v>237</v>
      </c>
      <c r="B227" t="s">
        <v>312</v>
      </c>
      <c r="C227">
        <v>37</v>
      </c>
      <c r="D227" t="s">
        <v>314</v>
      </c>
      <c r="E227" t="s">
        <v>319</v>
      </c>
      <c r="F227" t="s">
        <v>324</v>
      </c>
      <c r="G227">
        <v>53767</v>
      </c>
      <c r="H227" s="1">
        <v>44802</v>
      </c>
      <c r="J227">
        <v>2</v>
      </c>
      <c r="K227" t="s">
        <v>327</v>
      </c>
      <c r="L227" t="s">
        <v>329</v>
      </c>
      <c r="M227">
        <f ca="1">IF(HR_Table[[#This Row],[Exit_Date]]="",DATEDIF(HR_Table[[#This Row],[Joining_Date]],TODAY(),"Y"),DATEDIF(HR_Table[[#This Row],[Joining_Date]],HR_Table[[#This Row],[Exit_Date]],"Y"))</f>
        <v>3</v>
      </c>
      <c r="N227" t="str">
        <f>IF(HR_Table[[#This Row],[Age]]&lt;30,"Under 30",IF(HR_Table[[#This Row],[Age]]&lt;=40,"30-40","Above 40"))</f>
        <v>30-40</v>
      </c>
      <c r="O227">
        <f>YEAR(HR_Table[[#This Row],[Joining_Date]])</f>
        <v>2022</v>
      </c>
    </row>
    <row r="228" spans="1:15" x14ac:dyDescent="0.3">
      <c r="A228" t="s">
        <v>238</v>
      </c>
      <c r="B228" t="s">
        <v>313</v>
      </c>
      <c r="C228">
        <v>36</v>
      </c>
      <c r="D228" t="s">
        <v>314</v>
      </c>
      <c r="E228" t="s">
        <v>320</v>
      </c>
      <c r="F228" t="s">
        <v>324</v>
      </c>
      <c r="G228">
        <v>40525</v>
      </c>
      <c r="H228" s="1">
        <v>42943</v>
      </c>
      <c r="J228">
        <v>3</v>
      </c>
      <c r="K228" t="s">
        <v>327</v>
      </c>
      <c r="L228" t="s">
        <v>329</v>
      </c>
      <c r="M228">
        <f ca="1">IF(HR_Table[[#This Row],[Exit_Date]]="",DATEDIF(HR_Table[[#This Row],[Joining_Date]],TODAY(),"Y"),DATEDIF(HR_Table[[#This Row],[Joining_Date]],HR_Table[[#This Row],[Exit_Date]],"Y"))</f>
        <v>8</v>
      </c>
      <c r="N228" t="str">
        <f>IF(HR_Table[[#This Row],[Age]]&lt;30,"Under 30",IF(HR_Table[[#This Row],[Age]]&lt;=40,"30-40","Above 40"))</f>
        <v>30-40</v>
      </c>
      <c r="O228">
        <f>YEAR(HR_Table[[#This Row],[Joining_Date]])</f>
        <v>2017</v>
      </c>
    </row>
    <row r="229" spans="1:15" x14ac:dyDescent="0.3">
      <c r="A229" t="s">
        <v>239</v>
      </c>
      <c r="B229" t="s">
        <v>313</v>
      </c>
      <c r="C229">
        <v>25</v>
      </c>
      <c r="D229" t="s">
        <v>315</v>
      </c>
      <c r="E229" t="s">
        <v>319</v>
      </c>
      <c r="F229" t="s">
        <v>324</v>
      </c>
      <c r="G229">
        <v>61428</v>
      </c>
      <c r="H229" s="1">
        <v>43275</v>
      </c>
      <c r="J229">
        <v>4</v>
      </c>
      <c r="K229" t="s">
        <v>325</v>
      </c>
      <c r="L229" t="s">
        <v>329</v>
      </c>
      <c r="M229">
        <f ca="1">IF(HR_Table[[#This Row],[Exit_Date]]="",DATEDIF(HR_Table[[#This Row],[Joining_Date]],TODAY(),"Y"),DATEDIF(HR_Table[[#This Row],[Joining_Date]],HR_Table[[#This Row],[Exit_Date]],"Y"))</f>
        <v>7</v>
      </c>
      <c r="N229" t="str">
        <f>IF(HR_Table[[#This Row],[Age]]&lt;30,"Under 30",IF(HR_Table[[#This Row],[Age]]&lt;=40,"30-40","Above 40"))</f>
        <v>Under 30</v>
      </c>
      <c r="O229">
        <f>YEAR(HR_Table[[#This Row],[Joining_Date]])</f>
        <v>2018</v>
      </c>
    </row>
    <row r="230" spans="1:15" x14ac:dyDescent="0.3">
      <c r="A230" t="s">
        <v>240</v>
      </c>
      <c r="B230" t="s">
        <v>313</v>
      </c>
      <c r="C230">
        <v>48</v>
      </c>
      <c r="D230" t="s">
        <v>317</v>
      </c>
      <c r="E230" t="s">
        <v>322</v>
      </c>
      <c r="F230" t="s">
        <v>323</v>
      </c>
      <c r="G230">
        <v>44653</v>
      </c>
      <c r="H230" s="1">
        <v>45005</v>
      </c>
      <c r="J230">
        <v>4</v>
      </c>
      <c r="K230" t="s">
        <v>327</v>
      </c>
      <c r="L230" t="s">
        <v>329</v>
      </c>
      <c r="M230">
        <f ca="1">IF(HR_Table[[#This Row],[Exit_Date]]="",DATEDIF(HR_Table[[#This Row],[Joining_Date]],TODAY(),"Y"),DATEDIF(HR_Table[[#This Row],[Joining_Date]],HR_Table[[#This Row],[Exit_Date]],"Y"))</f>
        <v>2</v>
      </c>
      <c r="N230" t="str">
        <f>IF(HR_Table[[#This Row],[Age]]&lt;30,"Under 30",IF(HR_Table[[#This Row],[Age]]&lt;=40,"30-40","Above 40"))</f>
        <v>Above 40</v>
      </c>
      <c r="O230">
        <f>YEAR(HR_Table[[#This Row],[Joining_Date]])</f>
        <v>2023</v>
      </c>
    </row>
    <row r="231" spans="1:15" x14ac:dyDescent="0.3">
      <c r="A231" t="s">
        <v>241</v>
      </c>
      <c r="B231" t="s">
        <v>313</v>
      </c>
      <c r="C231">
        <v>31</v>
      </c>
      <c r="D231" t="s">
        <v>315</v>
      </c>
      <c r="E231" t="s">
        <v>320</v>
      </c>
      <c r="F231" t="s">
        <v>323</v>
      </c>
      <c r="G231">
        <v>61856</v>
      </c>
      <c r="H231" s="1">
        <v>44309</v>
      </c>
      <c r="I231" s="1">
        <v>45070</v>
      </c>
      <c r="J231">
        <v>4</v>
      </c>
      <c r="K231" t="s">
        <v>326</v>
      </c>
      <c r="L231" t="s">
        <v>330</v>
      </c>
      <c r="M231">
        <f ca="1">IF(HR_Table[[#This Row],[Exit_Date]]="",DATEDIF(HR_Table[[#This Row],[Joining_Date]],TODAY(),"Y"),DATEDIF(HR_Table[[#This Row],[Joining_Date]],HR_Table[[#This Row],[Exit_Date]],"Y"))</f>
        <v>2</v>
      </c>
      <c r="N231" t="str">
        <f>IF(HR_Table[[#This Row],[Age]]&lt;30,"Under 30",IF(HR_Table[[#This Row],[Age]]&lt;=40,"30-40","Above 40"))</f>
        <v>30-40</v>
      </c>
      <c r="O231">
        <f>YEAR(HR_Table[[#This Row],[Joining_Date]])</f>
        <v>2021</v>
      </c>
    </row>
    <row r="232" spans="1:15" x14ac:dyDescent="0.3">
      <c r="A232" t="s">
        <v>242</v>
      </c>
      <c r="B232" t="s">
        <v>313</v>
      </c>
      <c r="C232">
        <v>35</v>
      </c>
      <c r="D232" t="s">
        <v>315</v>
      </c>
      <c r="E232" t="s">
        <v>320</v>
      </c>
      <c r="F232" t="s">
        <v>323</v>
      </c>
      <c r="G232">
        <v>85439</v>
      </c>
      <c r="H232" s="1">
        <v>44540</v>
      </c>
      <c r="I232" s="1">
        <v>45337</v>
      </c>
      <c r="J232">
        <v>4</v>
      </c>
      <c r="K232" t="s">
        <v>328</v>
      </c>
      <c r="L232" t="s">
        <v>330</v>
      </c>
      <c r="M232">
        <f ca="1">IF(HR_Table[[#This Row],[Exit_Date]]="",DATEDIF(HR_Table[[#This Row],[Joining_Date]],TODAY(),"Y"),DATEDIF(HR_Table[[#This Row],[Joining_Date]],HR_Table[[#This Row],[Exit_Date]],"Y"))</f>
        <v>2</v>
      </c>
      <c r="N232" t="str">
        <f>IF(HR_Table[[#This Row],[Age]]&lt;30,"Under 30",IF(HR_Table[[#This Row],[Age]]&lt;=40,"30-40","Above 40"))</f>
        <v>30-40</v>
      </c>
      <c r="O232">
        <f>YEAR(HR_Table[[#This Row],[Joining_Date]])</f>
        <v>2021</v>
      </c>
    </row>
    <row r="233" spans="1:15" x14ac:dyDescent="0.3">
      <c r="A233" t="s">
        <v>243</v>
      </c>
      <c r="B233" t="s">
        <v>312</v>
      </c>
      <c r="C233">
        <v>25</v>
      </c>
      <c r="D233" t="s">
        <v>314</v>
      </c>
      <c r="E233" t="s">
        <v>320</v>
      </c>
      <c r="F233" t="s">
        <v>324</v>
      </c>
      <c r="G233">
        <v>69149</v>
      </c>
      <c r="H233" s="1">
        <v>44563</v>
      </c>
      <c r="J233">
        <v>5</v>
      </c>
      <c r="K233" t="s">
        <v>325</v>
      </c>
      <c r="L233" t="s">
        <v>329</v>
      </c>
      <c r="M233">
        <f ca="1">IF(HR_Table[[#This Row],[Exit_Date]]="",DATEDIF(HR_Table[[#This Row],[Joining_Date]],TODAY(),"Y"),DATEDIF(HR_Table[[#This Row],[Joining_Date]],HR_Table[[#This Row],[Exit_Date]],"Y"))</f>
        <v>4</v>
      </c>
      <c r="N233" t="str">
        <f>IF(HR_Table[[#This Row],[Age]]&lt;30,"Under 30",IF(HR_Table[[#This Row],[Age]]&lt;=40,"30-40","Above 40"))</f>
        <v>Under 30</v>
      </c>
      <c r="O233">
        <f>YEAR(HR_Table[[#This Row],[Joining_Date]])</f>
        <v>2022</v>
      </c>
    </row>
    <row r="234" spans="1:15" x14ac:dyDescent="0.3">
      <c r="A234" t="s">
        <v>244</v>
      </c>
      <c r="B234" t="s">
        <v>312</v>
      </c>
      <c r="C234">
        <v>52</v>
      </c>
      <c r="D234" t="s">
        <v>314</v>
      </c>
      <c r="E234" t="s">
        <v>319</v>
      </c>
      <c r="F234" t="s">
        <v>324</v>
      </c>
      <c r="G234">
        <v>44869</v>
      </c>
      <c r="H234" s="1">
        <v>43140</v>
      </c>
      <c r="J234">
        <v>1</v>
      </c>
      <c r="K234" t="s">
        <v>327</v>
      </c>
      <c r="L234" t="s">
        <v>329</v>
      </c>
      <c r="M234">
        <f ca="1">IF(HR_Table[[#This Row],[Exit_Date]]="",DATEDIF(HR_Table[[#This Row],[Joining_Date]],TODAY(),"Y"),DATEDIF(HR_Table[[#This Row],[Joining_Date]],HR_Table[[#This Row],[Exit_Date]],"Y"))</f>
        <v>8</v>
      </c>
      <c r="N234" t="str">
        <f>IF(HR_Table[[#This Row],[Age]]&lt;30,"Under 30",IF(HR_Table[[#This Row],[Age]]&lt;=40,"30-40","Above 40"))</f>
        <v>Above 40</v>
      </c>
      <c r="O234">
        <f>YEAR(HR_Table[[#This Row],[Joining_Date]])</f>
        <v>2018</v>
      </c>
    </row>
    <row r="235" spans="1:15" x14ac:dyDescent="0.3">
      <c r="A235" t="s">
        <v>245</v>
      </c>
      <c r="B235" t="s">
        <v>313</v>
      </c>
      <c r="C235">
        <v>37</v>
      </c>
      <c r="D235" t="s">
        <v>316</v>
      </c>
      <c r="E235" t="s">
        <v>319</v>
      </c>
      <c r="F235" t="s">
        <v>324</v>
      </c>
      <c r="G235">
        <v>84973</v>
      </c>
      <c r="H235" s="1">
        <v>42850</v>
      </c>
      <c r="J235">
        <v>2</v>
      </c>
      <c r="K235" t="s">
        <v>328</v>
      </c>
      <c r="L235" t="s">
        <v>329</v>
      </c>
      <c r="M235">
        <f ca="1">IF(HR_Table[[#This Row],[Exit_Date]]="",DATEDIF(HR_Table[[#This Row],[Joining_Date]],TODAY(),"Y"),DATEDIF(HR_Table[[#This Row],[Joining_Date]],HR_Table[[#This Row],[Exit_Date]],"Y"))</f>
        <v>8</v>
      </c>
      <c r="N235" t="str">
        <f>IF(HR_Table[[#This Row],[Age]]&lt;30,"Under 30",IF(HR_Table[[#This Row],[Age]]&lt;=40,"30-40","Above 40"))</f>
        <v>30-40</v>
      </c>
      <c r="O235">
        <f>YEAR(HR_Table[[#This Row],[Joining_Date]])</f>
        <v>2017</v>
      </c>
    </row>
    <row r="236" spans="1:15" x14ac:dyDescent="0.3">
      <c r="A236" t="s">
        <v>246</v>
      </c>
      <c r="B236" t="s">
        <v>313</v>
      </c>
      <c r="C236">
        <v>41</v>
      </c>
      <c r="D236" t="s">
        <v>317</v>
      </c>
      <c r="E236" t="s">
        <v>322</v>
      </c>
      <c r="F236" t="s">
        <v>324</v>
      </c>
      <c r="G236">
        <v>58607</v>
      </c>
      <c r="H236" s="1">
        <v>43929</v>
      </c>
      <c r="J236">
        <v>4</v>
      </c>
      <c r="K236" t="s">
        <v>326</v>
      </c>
      <c r="L236" t="s">
        <v>329</v>
      </c>
      <c r="M236">
        <f ca="1">IF(HR_Table[[#This Row],[Exit_Date]]="",DATEDIF(HR_Table[[#This Row],[Joining_Date]],TODAY(),"Y"),DATEDIF(HR_Table[[#This Row],[Joining_Date]],HR_Table[[#This Row],[Exit_Date]],"Y"))</f>
        <v>5</v>
      </c>
      <c r="N236" t="str">
        <f>IF(HR_Table[[#This Row],[Age]]&lt;30,"Under 30",IF(HR_Table[[#This Row],[Age]]&lt;=40,"30-40","Above 40"))</f>
        <v>Above 40</v>
      </c>
      <c r="O236">
        <f>YEAR(HR_Table[[#This Row],[Joining_Date]])</f>
        <v>2020</v>
      </c>
    </row>
    <row r="237" spans="1:15" x14ac:dyDescent="0.3">
      <c r="A237" t="s">
        <v>247</v>
      </c>
      <c r="B237" t="s">
        <v>313</v>
      </c>
      <c r="C237">
        <v>35</v>
      </c>
      <c r="D237" t="s">
        <v>314</v>
      </c>
      <c r="E237" t="s">
        <v>320</v>
      </c>
      <c r="F237" t="s">
        <v>324</v>
      </c>
      <c r="G237">
        <v>52127</v>
      </c>
      <c r="H237" s="1">
        <v>45329</v>
      </c>
      <c r="J237">
        <v>1</v>
      </c>
      <c r="K237" t="s">
        <v>327</v>
      </c>
      <c r="L237" t="s">
        <v>329</v>
      </c>
      <c r="M237">
        <f ca="1">IF(HR_Table[[#This Row],[Exit_Date]]="",DATEDIF(HR_Table[[#This Row],[Joining_Date]],TODAY(),"Y"),DATEDIF(HR_Table[[#This Row],[Joining_Date]],HR_Table[[#This Row],[Exit_Date]],"Y"))</f>
        <v>2</v>
      </c>
      <c r="N237" t="str">
        <f>IF(HR_Table[[#This Row],[Age]]&lt;30,"Under 30",IF(HR_Table[[#This Row],[Age]]&lt;=40,"30-40","Above 40"))</f>
        <v>30-40</v>
      </c>
      <c r="O237">
        <f>YEAR(HR_Table[[#This Row],[Joining_Date]])</f>
        <v>2024</v>
      </c>
    </row>
    <row r="238" spans="1:15" x14ac:dyDescent="0.3">
      <c r="A238" t="s">
        <v>248</v>
      </c>
      <c r="B238" t="s">
        <v>313</v>
      </c>
      <c r="C238">
        <v>40</v>
      </c>
      <c r="D238" t="s">
        <v>316</v>
      </c>
      <c r="E238" t="s">
        <v>319</v>
      </c>
      <c r="F238" t="s">
        <v>323</v>
      </c>
      <c r="G238">
        <v>46618</v>
      </c>
      <c r="H238" s="1">
        <v>42436</v>
      </c>
      <c r="J238">
        <v>2</v>
      </c>
      <c r="K238" t="s">
        <v>326</v>
      </c>
      <c r="L238" t="s">
        <v>329</v>
      </c>
      <c r="M238">
        <f ca="1">IF(HR_Table[[#This Row],[Exit_Date]]="",DATEDIF(HR_Table[[#This Row],[Joining_Date]],TODAY(),"Y"),DATEDIF(HR_Table[[#This Row],[Joining_Date]],HR_Table[[#This Row],[Exit_Date]],"Y"))</f>
        <v>10</v>
      </c>
      <c r="N238" t="str">
        <f>IF(HR_Table[[#This Row],[Age]]&lt;30,"Under 30",IF(HR_Table[[#This Row],[Age]]&lt;=40,"30-40","Above 40"))</f>
        <v>30-40</v>
      </c>
      <c r="O238">
        <f>YEAR(HR_Table[[#This Row],[Joining_Date]])</f>
        <v>2016</v>
      </c>
    </row>
    <row r="239" spans="1:15" x14ac:dyDescent="0.3">
      <c r="A239" t="s">
        <v>249</v>
      </c>
      <c r="B239" t="s">
        <v>313</v>
      </c>
      <c r="C239">
        <v>38</v>
      </c>
      <c r="D239" t="s">
        <v>315</v>
      </c>
      <c r="E239" t="s">
        <v>320</v>
      </c>
      <c r="F239" t="s">
        <v>324</v>
      </c>
      <c r="G239">
        <v>55200</v>
      </c>
      <c r="H239" s="1">
        <v>43376</v>
      </c>
      <c r="J239">
        <v>2</v>
      </c>
      <c r="K239" t="s">
        <v>328</v>
      </c>
      <c r="L239" t="s">
        <v>329</v>
      </c>
      <c r="M239">
        <f ca="1">IF(HR_Table[[#This Row],[Exit_Date]]="",DATEDIF(HR_Table[[#This Row],[Joining_Date]],TODAY(),"Y"),DATEDIF(HR_Table[[#This Row],[Joining_Date]],HR_Table[[#This Row],[Exit_Date]],"Y"))</f>
        <v>7</v>
      </c>
      <c r="N239" t="str">
        <f>IF(HR_Table[[#This Row],[Age]]&lt;30,"Under 30",IF(HR_Table[[#This Row],[Age]]&lt;=40,"30-40","Above 40"))</f>
        <v>30-40</v>
      </c>
      <c r="O239">
        <f>YEAR(HR_Table[[#This Row],[Joining_Date]])</f>
        <v>2018</v>
      </c>
    </row>
    <row r="240" spans="1:15" x14ac:dyDescent="0.3">
      <c r="A240" t="s">
        <v>250</v>
      </c>
      <c r="B240" t="s">
        <v>313</v>
      </c>
      <c r="C240">
        <v>33</v>
      </c>
      <c r="D240" t="s">
        <v>316</v>
      </c>
      <c r="E240" t="s">
        <v>319</v>
      </c>
      <c r="F240" t="s">
        <v>323</v>
      </c>
      <c r="G240">
        <v>79989</v>
      </c>
      <c r="H240" s="1">
        <v>42943</v>
      </c>
      <c r="J240">
        <v>1</v>
      </c>
      <c r="K240" t="s">
        <v>325</v>
      </c>
      <c r="L240" t="s">
        <v>329</v>
      </c>
      <c r="M240">
        <f ca="1">IF(HR_Table[[#This Row],[Exit_Date]]="",DATEDIF(HR_Table[[#This Row],[Joining_Date]],TODAY(),"Y"),DATEDIF(HR_Table[[#This Row],[Joining_Date]],HR_Table[[#This Row],[Exit_Date]],"Y"))</f>
        <v>8</v>
      </c>
      <c r="N240" t="str">
        <f>IF(HR_Table[[#This Row],[Age]]&lt;30,"Under 30",IF(HR_Table[[#This Row],[Age]]&lt;=40,"30-40","Above 40"))</f>
        <v>30-40</v>
      </c>
      <c r="O240">
        <f>YEAR(HR_Table[[#This Row],[Joining_Date]])</f>
        <v>2017</v>
      </c>
    </row>
    <row r="241" spans="1:15" x14ac:dyDescent="0.3">
      <c r="A241" t="s">
        <v>251</v>
      </c>
      <c r="B241" t="s">
        <v>312</v>
      </c>
      <c r="C241">
        <v>26</v>
      </c>
      <c r="D241" t="s">
        <v>314</v>
      </c>
      <c r="E241" t="s">
        <v>319</v>
      </c>
      <c r="F241" t="s">
        <v>323</v>
      </c>
      <c r="G241">
        <v>39334</v>
      </c>
      <c r="H241" s="1">
        <v>44059</v>
      </c>
      <c r="I241" s="1">
        <v>45650</v>
      </c>
      <c r="J241">
        <v>5</v>
      </c>
      <c r="K241" t="s">
        <v>326</v>
      </c>
      <c r="L241" t="s">
        <v>330</v>
      </c>
      <c r="M241">
        <f ca="1">IF(HR_Table[[#This Row],[Exit_Date]]="",DATEDIF(HR_Table[[#This Row],[Joining_Date]],TODAY(),"Y"),DATEDIF(HR_Table[[#This Row],[Joining_Date]],HR_Table[[#This Row],[Exit_Date]],"Y"))</f>
        <v>4</v>
      </c>
      <c r="N241" t="str">
        <f>IF(HR_Table[[#This Row],[Age]]&lt;30,"Under 30",IF(HR_Table[[#This Row],[Age]]&lt;=40,"30-40","Above 40"))</f>
        <v>Under 30</v>
      </c>
      <c r="O241">
        <f>YEAR(HR_Table[[#This Row],[Joining_Date]])</f>
        <v>2020</v>
      </c>
    </row>
    <row r="242" spans="1:15" x14ac:dyDescent="0.3">
      <c r="A242" t="s">
        <v>252</v>
      </c>
      <c r="B242" t="s">
        <v>313</v>
      </c>
      <c r="C242">
        <v>53</v>
      </c>
      <c r="D242" t="s">
        <v>317</v>
      </c>
      <c r="E242" t="s">
        <v>321</v>
      </c>
      <c r="F242" t="s">
        <v>323</v>
      </c>
      <c r="G242">
        <v>59879</v>
      </c>
      <c r="H242" s="1">
        <v>42617</v>
      </c>
      <c r="J242">
        <v>5</v>
      </c>
      <c r="K242" t="s">
        <v>326</v>
      </c>
      <c r="L242" t="s">
        <v>329</v>
      </c>
      <c r="M242">
        <f ca="1">IF(HR_Table[[#This Row],[Exit_Date]]="",DATEDIF(HR_Table[[#This Row],[Joining_Date]],TODAY(),"Y"),DATEDIF(HR_Table[[#This Row],[Joining_Date]],HR_Table[[#This Row],[Exit_Date]],"Y"))</f>
        <v>9</v>
      </c>
      <c r="N242" t="str">
        <f>IF(HR_Table[[#This Row],[Age]]&lt;30,"Under 30",IF(HR_Table[[#This Row],[Age]]&lt;=40,"30-40","Above 40"))</f>
        <v>Above 40</v>
      </c>
      <c r="O242">
        <f>YEAR(HR_Table[[#This Row],[Joining_Date]])</f>
        <v>2016</v>
      </c>
    </row>
    <row r="243" spans="1:15" x14ac:dyDescent="0.3">
      <c r="A243" t="s">
        <v>253</v>
      </c>
      <c r="B243" t="s">
        <v>313</v>
      </c>
      <c r="C243">
        <v>40</v>
      </c>
      <c r="D243" t="s">
        <v>314</v>
      </c>
      <c r="E243" t="s">
        <v>319</v>
      </c>
      <c r="F243" t="s">
        <v>324</v>
      </c>
      <c r="G243">
        <v>77833</v>
      </c>
      <c r="H243" s="1">
        <v>42438</v>
      </c>
      <c r="J243">
        <v>2</v>
      </c>
      <c r="K243" t="s">
        <v>325</v>
      </c>
      <c r="L243" t="s">
        <v>329</v>
      </c>
      <c r="M243">
        <f ca="1">IF(HR_Table[[#This Row],[Exit_Date]]="",DATEDIF(HR_Table[[#This Row],[Joining_Date]],TODAY(),"Y"),DATEDIF(HR_Table[[#This Row],[Joining_Date]],HR_Table[[#This Row],[Exit_Date]],"Y"))</f>
        <v>10</v>
      </c>
      <c r="N243" t="str">
        <f>IF(HR_Table[[#This Row],[Age]]&lt;30,"Under 30",IF(HR_Table[[#This Row],[Age]]&lt;=40,"30-40","Above 40"))</f>
        <v>30-40</v>
      </c>
      <c r="O243">
        <f>YEAR(HR_Table[[#This Row],[Joining_Date]])</f>
        <v>2016</v>
      </c>
    </row>
    <row r="244" spans="1:15" x14ac:dyDescent="0.3">
      <c r="A244" t="s">
        <v>254</v>
      </c>
      <c r="B244" t="s">
        <v>313</v>
      </c>
      <c r="C244">
        <v>44</v>
      </c>
      <c r="D244" t="s">
        <v>314</v>
      </c>
      <c r="E244" t="s">
        <v>320</v>
      </c>
      <c r="F244" t="s">
        <v>324</v>
      </c>
      <c r="G244">
        <v>30178</v>
      </c>
      <c r="H244" s="1">
        <v>44517</v>
      </c>
      <c r="I244" s="1">
        <v>45210</v>
      </c>
      <c r="J244">
        <v>3</v>
      </c>
      <c r="K244" t="s">
        <v>326</v>
      </c>
      <c r="L244" t="s">
        <v>330</v>
      </c>
      <c r="M244">
        <f ca="1">IF(HR_Table[[#This Row],[Exit_Date]]="",DATEDIF(HR_Table[[#This Row],[Joining_Date]],TODAY(),"Y"),DATEDIF(HR_Table[[#This Row],[Joining_Date]],HR_Table[[#This Row],[Exit_Date]],"Y"))</f>
        <v>1</v>
      </c>
      <c r="N244" t="str">
        <f>IF(HR_Table[[#This Row],[Age]]&lt;30,"Under 30",IF(HR_Table[[#This Row],[Age]]&lt;=40,"30-40","Above 40"))</f>
        <v>Above 40</v>
      </c>
      <c r="O244">
        <f>YEAR(HR_Table[[#This Row],[Joining_Date]])</f>
        <v>2021</v>
      </c>
    </row>
    <row r="245" spans="1:15" x14ac:dyDescent="0.3">
      <c r="A245" t="s">
        <v>255</v>
      </c>
      <c r="B245" t="s">
        <v>312</v>
      </c>
      <c r="C245">
        <v>41</v>
      </c>
      <c r="D245" t="s">
        <v>318</v>
      </c>
      <c r="E245" t="s">
        <v>321</v>
      </c>
      <c r="F245" t="s">
        <v>323</v>
      </c>
      <c r="G245">
        <v>31127</v>
      </c>
      <c r="H245" s="1">
        <v>44684</v>
      </c>
      <c r="J245">
        <v>4</v>
      </c>
      <c r="K245" t="s">
        <v>326</v>
      </c>
      <c r="L245" t="s">
        <v>329</v>
      </c>
      <c r="M245">
        <f ca="1">IF(HR_Table[[#This Row],[Exit_Date]]="",DATEDIF(HR_Table[[#This Row],[Joining_Date]],TODAY(),"Y"),DATEDIF(HR_Table[[#This Row],[Joining_Date]],HR_Table[[#This Row],[Exit_Date]],"Y"))</f>
        <v>3</v>
      </c>
      <c r="N245" t="str">
        <f>IF(HR_Table[[#This Row],[Age]]&lt;30,"Under 30",IF(HR_Table[[#This Row],[Age]]&lt;=40,"30-40","Above 40"))</f>
        <v>Above 40</v>
      </c>
      <c r="O245">
        <f>YEAR(HR_Table[[#This Row],[Joining_Date]])</f>
        <v>2022</v>
      </c>
    </row>
    <row r="246" spans="1:15" x14ac:dyDescent="0.3">
      <c r="A246" t="s">
        <v>256</v>
      </c>
      <c r="B246" t="s">
        <v>312</v>
      </c>
      <c r="C246">
        <v>32</v>
      </c>
      <c r="D246" t="s">
        <v>318</v>
      </c>
      <c r="E246" t="s">
        <v>321</v>
      </c>
      <c r="F246" t="s">
        <v>324</v>
      </c>
      <c r="G246">
        <v>80399</v>
      </c>
      <c r="H246" s="1">
        <v>44633</v>
      </c>
      <c r="J246">
        <v>4</v>
      </c>
      <c r="K246" t="s">
        <v>328</v>
      </c>
      <c r="L246" t="s">
        <v>329</v>
      </c>
      <c r="M246">
        <f ca="1">IF(HR_Table[[#This Row],[Exit_Date]]="",DATEDIF(HR_Table[[#This Row],[Joining_Date]],TODAY(),"Y"),DATEDIF(HR_Table[[#This Row],[Joining_Date]],HR_Table[[#This Row],[Exit_Date]],"Y"))</f>
        <v>3</v>
      </c>
      <c r="N246" t="str">
        <f>IF(HR_Table[[#This Row],[Age]]&lt;30,"Under 30",IF(HR_Table[[#This Row],[Age]]&lt;=40,"30-40","Above 40"))</f>
        <v>30-40</v>
      </c>
      <c r="O246">
        <f>YEAR(HR_Table[[#This Row],[Joining_Date]])</f>
        <v>2022</v>
      </c>
    </row>
    <row r="247" spans="1:15" x14ac:dyDescent="0.3">
      <c r="A247" t="s">
        <v>257</v>
      </c>
      <c r="B247" t="s">
        <v>312</v>
      </c>
      <c r="C247">
        <v>36</v>
      </c>
      <c r="D247" t="s">
        <v>315</v>
      </c>
      <c r="E247" t="s">
        <v>319</v>
      </c>
      <c r="F247" t="s">
        <v>324</v>
      </c>
      <c r="G247">
        <v>42766</v>
      </c>
      <c r="H247" s="1">
        <v>42760</v>
      </c>
      <c r="J247">
        <v>1</v>
      </c>
      <c r="K247" t="s">
        <v>325</v>
      </c>
      <c r="L247" t="s">
        <v>329</v>
      </c>
      <c r="M247">
        <f ca="1">IF(HR_Table[[#This Row],[Exit_Date]]="",DATEDIF(HR_Table[[#This Row],[Joining_Date]],TODAY(),"Y"),DATEDIF(HR_Table[[#This Row],[Joining_Date]],HR_Table[[#This Row],[Exit_Date]],"Y"))</f>
        <v>9</v>
      </c>
      <c r="N247" t="str">
        <f>IF(HR_Table[[#This Row],[Age]]&lt;30,"Under 30",IF(HR_Table[[#This Row],[Age]]&lt;=40,"30-40","Above 40"))</f>
        <v>30-40</v>
      </c>
      <c r="O247">
        <f>YEAR(HR_Table[[#This Row],[Joining_Date]])</f>
        <v>2017</v>
      </c>
    </row>
    <row r="248" spans="1:15" x14ac:dyDescent="0.3">
      <c r="A248" t="s">
        <v>258</v>
      </c>
      <c r="B248" t="s">
        <v>312</v>
      </c>
      <c r="C248">
        <v>33</v>
      </c>
      <c r="D248" t="s">
        <v>317</v>
      </c>
      <c r="E248" t="s">
        <v>322</v>
      </c>
      <c r="F248" t="s">
        <v>323</v>
      </c>
      <c r="G248">
        <v>88010</v>
      </c>
      <c r="H248" s="1">
        <v>44594</v>
      </c>
      <c r="J248">
        <v>2</v>
      </c>
      <c r="K248" t="s">
        <v>327</v>
      </c>
      <c r="L248" t="s">
        <v>329</v>
      </c>
      <c r="M248">
        <f ca="1">IF(HR_Table[[#This Row],[Exit_Date]]="",DATEDIF(HR_Table[[#This Row],[Joining_Date]],TODAY(),"Y"),DATEDIF(HR_Table[[#This Row],[Joining_Date]],HR_Table[[#This Row],[Exit_Date]],"Y"))</f>
        <v>4</v>
      </c>
      <c r="N248" t="str">
        <f>IF(HR_Table[[#This Row],[Age]]&lt;30,"Under 30",IF(HR_Table[[#This Row],[Age]]&lt;=40,"30-40","Above 40"))</f>
        <v>30-40</v>
      </c>
      <c r="O248">
        <f>YEAR(HR_Table[[#This Row],[Joining_Date]])</f>
        <v>2022</v>
      </c>
    </row>
    <row r="249" spans="1:15" x14ac:dyDescent="0.3">
      <c r="A249" t="s">
        <v>259</v>
      </c>
      <c r="B249" t="s">
        <v>312</v>
      </c>
      <c r="C249">
        <v>46</v>
      </c>
      <c r="D249" t="s">
        <v>318</v>
      </c>
      <c r="E249" t="s">
        <v>320</v>
      </c>
      <c r="F249" t="s">
        <v>324</v>
      </c>
      <c r="G249">
        <v>74519</v>
      </c>
      <c r="H249" s="1">
        <v>42685</v>
      </c>
      <c r="J249">
        <v>2</v>
      </c>
      <c r="K249" t="s">
        <v>325</v>
      </c>
      <c r="L249" t="s">
        <v>329</v>
      </c>
      <c r="M249">
        <f ca="1">IF(HR_Table[[#This Row],[Exit_Date]]="",DATEDIF(HR_Table[[#This Row],[Joining_Date]],TODAY(),"Y"),DATEDIF(HR_Table[[#This Row],[Joining_Date]],HR_Table[[#This Row],[Exit_Date]],"Y"))</f>
        <v>9</v>
      </c>
      <c r="N249" t="str">
        <f>IF(HR_Table[[#This Row],[Age]]&lt;30,"Under 30",IF(HR_Table[[#This Row],[Age]]&lt;=40,"30-40","Above 40"))</f>
        <v>Above 40</v>
      </c>
      <c r="O249">
        <f>YEAR(HR_Table[[#This Row],[Joining_Date]])</f>
        <v>2016</v>
      </c>
    </row>
    <row r="250" spans="1:15" x14ac:dyDescent="0.3">
      <c r="A250" t="s">
        <v>260</v>
      </c>
      <c r="B250" t="s">
        <v>312</v>
      </c>
      <c r="C250">
        <v>26</v>
      </c>
      <c r="D250" t="s">
        <v>315</v>
      </c>
      <c r="E250" t="s">
        <v>320</v>
      </c>
      <c r="F250" t="s">
        <v>324</v>
      </c>
      <c r="G250">
        <v>88499</v>
      </c>
      <c r="H250" s="1">
        <v>43786</v>
      </c>
      <c r="I250" s="1">
        <v>44981</v>
      </c>
      <c r="J250">
        <v>3</v>
      </c>
      <c r="K250" t="s">
        <v>325</v>
      </c>
      <c r="L250" t="s">
        <v>330</v>
      </c>
      <c r="M250">
        <f ca="1">IF(HR_Table[[#This Row],[Exit_Date]]="",DATEDIF(HR_Table[[#This Row],[Joining_Date]],TODAY(),"Y"),DATEDIF(HR_Table[[#This Row],[Joining_Date]],HR_Table[[#This Row],[Exit_Date]],"Y"))</f>
        <v>3</v>
      </c>
      <c r="N250" t="str">
        <f>IF(HR_Table[[#This Row],[Age]]&lt;30,"Under 30",IF(HR_Table[[#This Row],[Age]]&lt;=40,"30-40","Above 40"))</f>
        <v>Under 30</v>
      </c>
      <c r="O250">
        <f>YEAR(HR_Table[[#This Row],[Joining_Date]])</f>
        <v>2019</v>
      </c>
    </row>
    <row r="251" spans="1:15" x14ac:dyDescent="0.3">
      <c r="A251" t="s">
        <v>261</v>
      </c>
      <c r="B251" t="s">
        <v>313</v>
      </c>
      <c r="C251">
        <v>46</v>
      </c>
      <c r="D251" t="s">
        <v>317</v>
      </c>
      <c r="E251" t="s">
        <v>322</v>
      </c>
      <c r="F251" t="s">
        <v>323</v>
      </c>
      <c r="G251">
        <v>69544</v>
      </c>
      <c r="H251" s="1">
        <v>44215</v>
      </c>
      <c r="J251">
        <v>5</v>
      </c>
      <c r="K251" t="s">
        <v>326</v>
      </c>
      <c r="L251" t="s">
        <v>329</v>
      </c>
      <c r="M251">
        <f ca="1">IF(HR_Table[[#This Row],[Exit_Date]]="",DATEDIF(HR_Table[[#This Row],[Joining_Date]],TODAY(),"Y"),DATEDIF(HR_Table[[#This Row],[Joining_Date]],HR_Table[[#This Row],[Exit_Date]],"Y"))</f>
        <v>5</v>
      </c>
      <c r="N251" t="str">
        <f>IF(HR_Table[[#This Row],[Age]]&lt;30,"Under 30",IF(HR_Table[[#This Row],[Age]]&lt;=40,"30-40","Above 40"))</f>
        <v>Above 40</v>
      </c>
      <c r="O251">
        <f>YEAR(HR_Table[[#This Row],[Joining_Date]])</f>
        <v>2021</v>
      </c>
    </row>
    <row r="252" spans="1:15" x14ac:dyDescent="0.3">
      <c r="A252" t="s">
        <v>262</v>
      </c>
      <c r="B252" t="s">
        <v>312</v>
      </c>
      <c r="C252">
        <v>26</v>
      </c>
      <c r="D252" t="s">
        <v>314</v>
      </c>
      <c r="E252" t="s">
        <v>319</v>
      </c>
      <c r="F252" t="s">
        <v>324</v>
      </c>
      <c r="G252">
        <v>35107</v>
      </c>
      <c r="H252" s="1">
        <v>44903</v>
      </c>
      <c r="J252">
        <v>4</v>
      </c>
      <c r="K252" t="s">
        <v>327</v>
      </c>
      <c r="L252" t="s">
        <v>329</v>
      </c>
      <c r="M252">
        <f ca="1">IF(HR_Table[[#This Row],[Exit_Date]]="",DATEDIF(HR_Table[[#This Row],[Joining_Date]],TODAY(),"Y"),DATEDIF(HR_Table[[#This Row],[Joining_Date]],HR_Table[[#This Row],[Exit_Date]],"Y"))</f>
        <v>3</v>
      </c>
      <c r="N252" t="str">
        <f>IF(HR_Table[[#This Row],[Age]]&lt;30,"Under 30",IF(HR_Table[[#This Row],[Age]]&lt;=40,"30-40","Above 40"))</f>
        <v>Under 30</v>
      </c>
      <c r="O252">
        <f>YEAR(HR_Table[[#This Row],[Joining_Date]])</f>
        <v>2022</v>
      </c>
    </row>
    <row r="253" spans="1:15" x14ac:dyDescent="0.3">
      <c r="A253" t="s">
        <v>263</v>
      </c>
      <c r="B253" t="s">
        <v>312</v>
      </c>
      <c r="C253">
        <v>22</v>
      </c>
      <c r="D253" t="s">
        <v>318</v>
      </c>
      <c r="E253" t="s">
        <v>320</v>
      </c>
      <c r="F253" t="s">
        <v>324</v>
      </c>
      <c r="G253">
        <v>48587</v>
      </c>
      <c r="H253" s="1">
        <v>43667</v>
      </c>
      <c r="J253">
        <v>3</v>
      </c>
      <c r="K253" t="s">
        <v>325</v>
      </c>
      <c r="L253" t="s">
        <v>329</v>
      </c>
      <c r="M253">
        <f ca="1">IF(HR_Table[[#This Row],[Exit_Date]]="",DATEDIF(HR_Table[[#This Row],[Joining_Date]],TODAY(),"Y"),DATEDIF(HR_Table[[#This Row],[Joining_Date]],HR_Table[[#This Row],[Exit_Date]],"Y"))</f>
        <v>6</v>
      </c>
      <c r="N253" t="str">
        <f>IF(HR_Table[[#This Row],[Age]]&lt;30,"Under 30",IF(HR_Table[[#This Row],[Age]]&lt;=40,"30-40","Above 40"))</f>
        <v>Under 30</v>
      </c>
      <c r="O253">
        <f>YEAR(HR_Table[[#This Row],[Joining_Date]])</f>
        <v>2019</v>
      </c>
    </row>
    <row r="254" spans="1:15" x14ac:dyDescent="0.3">
      <c r="A254" t="s">
        <v>264</v>
      </c>
      <c r="B254" t="s">
        <v>313</v>
      </c>
      <c r="C254">
        <v>28</v>
      </c>
      <c r="D254" t="s">
        <v>316</v>
      </c>
      <c r="E254" t="s">
        <v>319</v>
      </c>
      <c r="F254" t="s">
        <v>323</v>
      </c>
      <c r="G254">
        <v>48194</v>
      </c>
      <c r="H254" s="1">
        <v>42727</v>
      </c>
      <c r="I254" s="1">
        <v>43946</v>
      </c>
      <c r="J254">
        <v>5</v>
      </c>
      <c r="K254" t="s">
        <v>325</v>
      </c>
      <c r="L254" t="s">
        <v>330</v>
      </c>
      <c r="M254">
        <f ca="1">IF(HR_Table[[#This Row],[Exit_Date]]="",DATEDIF(HR_Table[[#This Row],[Joining_Date]],TODAY(),"Y"),DATEDIF(HR_Table[[#This Row],[Joining_Date]],HR_Table[[#This Row],[Exit_Date]],"Y"))</f>
        <v>3</v>
      </c>
      <c r="N254" t="str">
        <f>IF(HR_Table[[#This Row],[Age]]&lt;30,"Under 30",IF(HR_Table[[#This Row],[Age]]&lt;=40,"30-40","Above 40"))</f>
        <v>Under 30</v>
      </c>
      <c r="O254">
        <f>YEAR(HR_Table[[#This Row],[Joining_Date]])</f>
        <v>2016</v>
      </c>
    </row>
    <row r="255" spans="1:15" x14ac:dyDescent="0.3">
      <c r="A255" t="s">
        <v>265</v>
      </c>
      <c r="B255" t="s">
        <v>313</v>
      </c>
      <c r="C255">
        <v>22</v>
      </c>
      <c r="D255" t="s">
        <v>315</v>
      </c>
      <c r="E255" t="s">
        <v>320</v>
      </c>
      <c r="F255" t="s">
        <v>324</v>
      </c>
      <c r="G255">
        <v>50414</v>
      </c>
      <c r="H255" s="1">
        <v>44819</v>
      </c>
      <c r="J255">
        <v>1</v>
      </c>
      <c r="K255" t="s">
        <v>327</v>
      </c>
      <c r="L255" t="s">
        <v>329</v>
      </c>
      <c r="M255">
        <f ca="1">IF(HR_Table[[#This Row],[Exit_Date]]="",DATEDIF(HR_Table[[#This Row],[Joining_Date]],TODAY(),"Y"),DATEDIF(HR_Table[[#This Row],[Joining_Date]],HR_Table[[#This Row],[Exit_Date]],"Y"))</f>
        <v>3</v>
      </c>
      <c r="N255" t="str">
        <f>IF(HR_Table[[#This Row],[Age]]&lt;30,"Under 30",IF(HR_Table[[#This Row],[Age]]&lt;=40,"30-40","Above 40"))</f>
        <v>Under 30</v>
      </c>
      <c r="O255">
        <f>YEAR(HR_Table[[#This Row],[Joining_Date]])</f>
        <v>2022</v>
      </c>
    </row>
    <row r="256" spans="1:15" x14ac:dyDescent="0.3">
      <c r="A256" t="s">
        <v>266</v>
      </c>
      <c r="B256" t="s">
        <v>312</v>
      </c>
      <c r="C256">
        <v>30</v>
      </c>
      <c r="D256" t="s">
        <v>315</v>
      </c>
      <c r="E256" t="s">
        <v>320</v>
      </c>
      <c r="F256" t="s">
        <v>324</v>
      </c>
      <c r="G256">
        <v>42590</v>
      </c>
      <c r="H256" s="1">
        <v>44504</v>
      </c>
      <c r="I256" s="1">
        <v>45583</v>
      </c>
      <c r="J256">
        <v>4</v>
      </c>
      <c r="K256" t="s">
        <v>327</v>
      </c>
      <c r="L256" t="s">
        <v>330</v>
      </c>
      <c r="M256">
        <f ca="1">IF(HR_Table[[#This Row],[Exit_Date]]="",DATEDIF(HR_Table[[#This Row],[Joining_Date]],TODAY(),"Y"),DATEDIF(HR_Table[[#This Row],[Joining_Date]],HR_Table[[#This Row],[Exit_Date]],"Y"))</f>
        <v>2</v>
      </c>
      <c r="N256" t="str">
        <f>IF(HR_Table[[#This Row],[Age]]&lt;30,"Under 30",IF(HR_Table[[#This Row],[Age]]&lt;=40,"30-40","Above 40"))</f>
        <v>30-40</v>
      </c>
      <c r="O256">
        <f>YEAR(HR_Table[[#This Row],[Joining_Date]])</f>
        <v>2021</v>
      </c>
    </row>
    <row r="257" spans="1:15" x14ac:dyDescent="0.3">
      <c r="A257" t="s">
        <v>267</v>
      </c>
      <c r="B257" t="s">
        <v>313</v>
      </c>
      <c r="C257">
        <v>41</v>
      </c>
      <c r="D257" t="s">
        <v>314</v>
      </c>
      <c r="E257" t="s">
        <v>320</v>
      </c>
      <c r="F257" t="s">
        <v>323</v>
      </c>
      <c r="G257">
        <v>48666</v>
      </c>
      <c r="H257" s="1">
        <v>43054</v>
      </c>
      <c r="J257">
        <v>3</v>
      </c>
      <c r="K257" t="s">
        <v>327</v>
      </c>
      <c r="L257" t="s">
        <v>329</v>
      </c>
      <c r="M257">
        <f ca="1">IF(HR_Table[[#This Row],[Exit_Date]]="",DATEDIF(HR_Table[[#This Row],[Joining_Date]],TODAY(),"Y"),DATEDIF(HR_Table[[#This Row],[Joining_Date]],HR_Table[[#This Row],[Exit_Date]],"Y"))</f>
        <v>8</v>
      </c>
      <c r="N257" t="str">
        <f>IF(HR_Table[[#This Row],[Age]]&lt;30,"Under 30",IF(HR_Table[[#This Row],[Age]]&lt;=40,"30-40","Above 40"))</f>
        <v>Above 40</v>
      </c>
      <c r="O257">
        <f>YEAR(HR_Table[[#This Row],[Joining_Date]])</f>
        <v>2017</v>
      </c>
    </row>
    <row r="258" spans="1:15" x14ac:dyDescent="0.3">
      <c r="A258" t="s">
        <v>268</v>
      </c>
      <c r="B258" t="s">
        <v>313</v>
      </c>
      <c r="C258">
        <v>28</v>
      </c>
      <c r="D258" t="s">
        <v>318</v>
      </c>
      <c r="E258" t="s">
        <v>321</v>
      </c>
      <c r="F258" t="s">
        <v>324</v>
      </c>
      <c r="G258">
        <v>25443</v>
      </c>
      <c r="H258" s="1">
        <v>44802</v>
      </c>
      <c r="J258">
        <v>4</v>
      </c>
      <c r="K258" t="s">
        <v>328</v>
      </c>
      <c r="L258" t="s">
        <v>329</v>
      </c>
      <c r="M258">
        <f ca="1">IF(HR_Table[[#This Row],[Exit_Date]]="",DATEDIF(HR_Table[[#This Row],[Joining_Date]],TODAY(),"Y"),DATEDIF(HR_Table[[#This Row],[Joining_Date]],HR_Table[[#This Row],[Exit_Date]],"Y"))</f>
        <v>3</v>
      </c>
      <c r="N258" t="str">
        <f>IF(HR_Table[[#This Row],[Age]]&lt;30,"Under 30",IF(HR_Table[[#This Row],[Age]]&lt;=40,"30-40","Above 40"))</f>
        <v>Under 30</v>
      </c>
      <c r="O258">
        <f>YEAR(HR_Table[[#This Row],[Joining_Date]])</f>
        <v>2022</v>
      </c>
    </row>
    <row r="259" spans="1:15" x14ac:dyDescent="0.3">
      <c r="A259" t="s">
        <v>269</v>
      </c>
      <c r="B259" t="s">
        <v>313</v>
      </c>
      <c r="C259">
        <v>50</v>
      </c>
      <c r="D259" t="s">
        <v>315</v>
      </c>
      <c r="E259" t="s">
        <v>320</v>
      </c>
      <c r="F259" t="s">
        <v>324</v>
      </c>
      <c r="G259">
        <v>78443</v>
      </c>
      <c r="H259" s="1">
        <v>43926</v>
      </c>
      <c r="J259">
        <v>5</v>
      </c>
      <c r="K259" t="s">
        <v>327</v>
      </c>
      <c r="L259" t="s">
        <v>329</v>
      </c>
      <c r="M259">
        <f ca="1">IF(HR_Table[[#This Row],[Exit_Date]]="",DATEDIF(HR_Table[[#This Row],[Joining_Date]],TODAY(),"Y"),DATEDIF(HR_Table[[#This Row],[Joining_Date]],HR_Table[[#This Row],[Exit_Date]],"Y"))</f>
        <v>5</v>
      </c>
      <c r="N259" t="str">
        <f>IF(HR_Table[[#This Row],[Age]]&lt;30,"Under 30",IF(HR_Table[[#This Row],[Age]]&lt;=40,"30-40","Above 40"))</f>
        <v>Above 40</v>
      </c>
      <c r="O259">
        <f>YEAR(HR_Table[[#This Row],[Joining_Date]])</f>
        <v>2020</v>
      </c>
    </row>
    <row r="260" spans="1:15" x14ac:dyDescent="0.3">
      <c r="A260" t="s">
        <v>270</v>
      </c>
      <c r="B260" t="s">
        <v>312</v>
      </c>
      <c r="C260">
        <v>52</v>
      </c>
      <c r="D260" t="s">
        <v>317</v>
      </c>
      <c r="E260" t="s">
        <v>322</v>
      </c>
      <c r="F260" t="s">
        <v>323</v>
      </c>
      <c r="G260">
        <v>88214</v>
      </c>
      <c r="H260" s="1">
        <v>43683</v>
      </c>
      <c r="J260">
        <v>4</v>
      </c>
      <c r="K260" t="s">
        <v>328</v>
      </c>
      <c r="L260" t="s">
        <v>329</v>
      </c>
      <c r="M260">
        <f ca="1">IF(HR_Table[[#This Row],[Exit_Date]]="",DATEDIF(HR_Table[[#This Row],[Joining_Date]],TODAY(),"Y"),DATEDIF(HR_Table[[#This Row],[Joining_Date]],HR_Table[[#This Row],[Exit_Date]],"Y"))</f>
        <v>6</v>
      </c>
      <c r="N260" t="str">
        <f>IF(HR_Table[[#This Row],[Age]]&lt;30,"Under 30",IF(HR_Table[[#This Row],[Age]]&lt;=40,"30-40","Above 40"))</f>
        <v>Above 40</v>
      </c>
      <c r="O260">
        <f>YEAR(HR_Table[[#This Row],[Joining_Date]])</f>
        <v>2019</v>
      </c>
    </row>
    <row r="261" spans="1:15" x14ac:dyDescent="0.3">
      <c r="A261" t="s">
        <v>271</v>
      </c>
      <c r="B261" t="s">
        <v>312</v>
      </c>
      <c r="C261">
        <v>42</v>
      </c>
      <c r="D261" t="s">
        <v>317</v>
      </c>
      <c r="E261" t="s">
        <v>322</v>
      </c>
      <c r="F261" t="s">
        <v>324</v>
      </c>
      <c r="G261">
        <v>78509</v>
      </c>
      <c r="H261" s="1">
        <v>45216</v>
      </c>
      <c r="J261">
        <v>4</v>
      </c>
      <c r="K261" t="s">
        <v>328</v>
      </c>
      <c r="L261" t="s">
        <v>329</v>
      </c>
      <c r="M261">
        <f ca="1">IF(HR_Table[[#This Row],[Exit_Date]]="",DATEDIF(HR_Table[[#This Row],[Joining_Date]],TODAY(),"Y"),DATEDIF(HR_Table[[#This Row],[Joining_Date]],HR_Table[[#This Row],[Exit_Date]],"Y"))</f>
        <v>2</v>
      </c>
      <c r="N261" t="str">
        <f>IF(HR_Table[[#This Row],[Age]]&lt;30,"Under 30",IF(HR_Table[[#This Row],[Age]]&lt;=40,"30-40","Above 40"))</f>
        <v>Above 40</v>
      </c>
      <c r="O261">
        <f>YEAR(HR_Table[[#This Row],[Joining_Date]])</f>
        <v>2023</v>
      </c>
    </row>
    <row r="262" spans="1:15" x14ac:dyDescent="0.3">
      <c r="A262" t="s">
        <v>272</v>
      </c>
      <c r="B262" t="s">
        <v>312</v>
      </c>
      <c r="C262">
        <v>23</v>
      </c>
      <c r="D262" t="s">
        <v>314</v>
      </c>
      <c r="E262" t="s">
        <v>320</v>
      </c>
      <c r="F262" t="s">
        <v>323</v>
      </c>
      <c r="G262">
        <v>53734</v>
      </c>
      <c r="H262" s="1">
        <v>44679</v>
      </c>
      <c r="J262">
        <v>3</v>
      </c>
      <c r="K262" t="s">
        <v>325</v>
      </c>
      <c r="L262" t="s">
        <v>329</v>
      </c>
      <c r="M262">
        <f ca="1">IF(HR_Table[[#This Row],[Exit_Date]]="",DATEDIF(HR_Table[[#This Row],[Joining_Date]],TODAY(),"Y"),DATEDIF(HR_Table[[#This Row],[Joining_Date]],HR_Table[[#This Row],[Exit_Date]],"Y"))</f>
        <v>3</v>
      </c>
      <c r="N262" t="str">
        <f>IF(HR_Table[[#This Row],[Age]]&lt;30,"Under 30",IF(HR_Table[[#This Row],[Age]]&lt;=40,"30-40","Above 40"))</f>
        <v>Under 30</v>
      </c>
      <c r="O262">
        <f>YEAR(HR_Table[[#This Row],[Joining_Date]])</f>
        <v>2022</v>
      </c>
    </row>
    <row r="263" spans="1:15" x14ac:dyDescent="0.3">
      <c r="A263" t="s">
        <v>273</v>
      </c>
      <c r="B263" t="s">
        <v>313</v>
      </c>
      <c r="C263">
        <v>37</v>
      </c>
      <c r="D263" t="s">
        <v>318</v>
      </c>
      <c r="E263" t="s">
        <v>320</v>
      </c>
      <c r="F263" t="s">
        <v>323</v>
      </c>
      <c r="G263">
        <v>71873</v>
      </c>
      <c r="H263" s="1">
        <v>45126</v>
      </c>
      <c r="J263">
        <v>4</v>
      </c>
      <c r="K263" t="s">
        <v>326</v>
      </c>
      <c r="L263" t="s">
        <v>329</v>
      </c>
      <c r="M263">
        <f ca="1">IF(HR_Table[[#This Row],[Exit_Date]]="",DATEDIF(HR_Table[[#This Row],[Joining_Date]],TODAY(),"Y"),DATEDIF(HR_Table[[#This Row],[Joining_Date]],HR_Table[[#This Row],[Exit_Date]],"Y"))</f>
        <v>2</v>
      </c>
      <c r="N263" t="str">
        <f>IF(HR_Table[[#This Row],[Age]]&lt;30,"Under 30",IF(HR_Table[[#This Row],[Age]]&lt;=40,"30-40","Above 40"))</f>
        <v>30-40</v>
      </c>
      <c r="O263">
        <f>YEAR(HR_Table[[#This Row],[Joining_Date]])</f>
        <v>2023</v>
      </c>
    </row>
    <row r="264" spans="1:15" x14ac:dyDescent="0.3">
      <c r="A264" t="s">
        <v>274</v>
      </c>
      <c r="B264" t="s">
        <v>313</v>
      </c>
      <c r="C264">
        <v>47</v>
      </c>
      <c r="D264" t="s">
        <v>314</v>
      </c>
      <c r="E264" t="s">
        <v>320</v>
      </c>
      <c r="F264" t="s">
        <v>323</v>
      </c>
      <c r="G264">
        <v>76820</v>
      </c>
      <c r="H264" s="1">
        <v>44209</v>
      </c>
      <c r="J264">
        <v>3</v>
      </c>
      <c r="K264" t="s">
        <v>325</v>
      </c>
      <c r="L264" t="s">
        <v>329</v>
      </c>
      <c r="M264">
        <f ca="1">IF(HR_Table[[#This Row],[Exit_Date]]="",DATEDIF(HR_Table[[#This Row],[Joining_Date]],TODAY(),"Y"),DATEDIF(HR_Table[[#This Row],[Joining_Date]],HR_Table[[#This Row],[Exit_Date]],"Y"))</f>
        <v>5</v>
      </c>
      <c r="N264" t="str">
        <f>IF(HR_Table[[#This Row],[Age]]&lt;30,"Under 30",IF(HR_Table[[#This Row],[Age]]&lt;=40,"30-40","Above 40"))</f>
        <v>Above 40</v>
      </c>
      <c r="O264">
        <f>YEAR(HR_Table[[#This Row],[Joining_Date]])</f>
        <v>2021</v>
      </c>
    </row>
    <row r="265" spans="1:15" x14ac:dyDescent="0.3">
      <c r="A265" t="s">
        <v>275</v>
      </c>
      <c r="B265" t="s">
        <v>313</v>
      </c>
      <c r="C265">
        <v>32</v>
      </c>
      <c r="D265" t="s">
        <v>314</v>
      </c>
      <c r="E265" t="s">
        <v>319</v>
      </c>
      <c r="F265" t="s">
        <v>324</v>
      </c>
      <c r="G265">
        <v>88360</v>
      </c>
      <c r="H265" s="1">
        <v>43386</v>
      </c>
      <c r="J265">
        <v>3</v>
      </c>
      <c r="K265" t="s">
        <v>326</v>
      </c>
      <c r="L265" t="s">
        <v>329</v>
      </c>
      <c r="M265">
        <f ca="1">IF(HR_Table[[#This Row],[Exit_Date]]="",DATEDIF(HR_Table[[#This Row],[Joining_Date]],TODAY(),"Y"),DATEDIF(HR_Table[[#This Row],[Joining_Date]],HR_Table[[#This Row],[Exit_Date]],"Y"))</f>
        <v>7</v>
      </c>
      <c r="N265" t="str">
        <f>IF(HR_Table[[#This Row],[Age]]&lt;30,"Under 30",IF(HR_Table[[#This Row],[Age]]&lt;=40,"30-40","Above 40"))</f>
        <v>30-40</v>
      </c>
      <c r="O265">
        <f>YEAR(HR_Table[[#This Row],[Joining_Date]])</f>
        <v>2018</v>
      </c>
    </row>
    <row r="266" spans="1:15" x14ac:dyDescent="0.3">
      <c r="A266" t="s">
        <v>276</v>
      </c>
      <c r="B266" t="s">
        <v>312</v>
      </c>
      <c r="C266">
        <v>50</v>
      </c>
      <c r="D266" t="s">
        <v>314</v>
      </c>
      <c r="E266" t="s">
        <v>320</v>
      </c>
      <c r="F266" t="s">
        <v>324</v>
      </c>
      <c r="G266">
        <v>55347</v>
      </c>
      <c r="H266" s="1">
        <v>42413</v>
      </c>
      <c r="I266" s="1">
        <v>43167</v>
      </c>
      <c r="J266">
        <v>5</v>
      </c>
      <c r="K266" t="s">
        <v>327</v>
      </c>
      <c r="L266" t="s">
        <v>330</v>
      </c>
      <c r="M266">
        <f ca="1">IF(HR_Table[[#This Row],[Exit_Date]]="",DATEDIF(HR_Table[[#This Row],[Joining_Date]],TODAY(),"Y"),DATEDIF(HR_Table[[#This Row],[Joining_Date]],HR_Table[[#This Row],[Exit_Date]],"Y"))</f>
        <v>2</v>
      </c>
      <c r="N266" t="str">
        <f>IF(HR_Table[[#This Row],[Age]]&lt;30,"Under 30",IF(HR_Table[[#This Row],[Age]]&lt;=40,"30-40","Above 40"))</f>
        <v>Above 40</v>
      </c>
      <c r="O266">
        <f>YEAR(HR_Table[[#This Row],[Joining_Date]])</f>
        <v>2016</v>
      </c>
    </row>
    <row r="267" spans="1:15" x14ac:dyDescent="0.3">
      <c r="A267" t="s">
        <v>277</v>
      </c>
      <c r="B267" t="s">
        <v>313</v>
      </c>
      <c r="C267">
        <v>48</v>
      </c>
      <c r="D267" t="s">
        <v>317</v>
      </c>
      <c r="E267" t="s">
        <v>321</v>
      </c>
      <c r="F267" t="s">
        <v>323</v>
      </c>
      <c r="G267">
        <v>79481</v>
      </c>
      <c r="H267" s="1">
        <v>42470</v>
      </c>
      <c r="J267">
        <v>2</v>
      </c>
      <c r="K267" t="s">
        <v>328</v>
      </c>
      <c r="L267" t="s">
        <v>329</v>
      </c>
      <c r="M267">
        <f ca="1">IF(HR_Table[[#This Row],[Exit_Date]]="",DATEDIF(HR_Table[[#This Row],[Joining_Date]],TODAY(),"Y"),DATEDIF(HR_Table[[#This Row],[Joining_Date]],HR_Table[[#This Row],[Exit_Date]],"Y"))</f>
        <v>9</v>
      </c>
      <c r="N267" t="str">
        <f>IF(HR_Table[[#This Row],[Age]]&lt;30,"Under 30",IF(HR_Table[[#This Row],[Age]]&lt;=40,"30-40","Above 40"))</f>
        <v>Above 40</v>
      </c>
      <c r="O267">
        <f>YEAR(HR_Table[[#This Row],[Joining_Date]])</f>
        <v>2016</v>
      </c>
    </row>
    <row r="268" spans="1:15" x14ac:dyDescent="0.3">
      <c r="A268" t="s">
        <v>278</v>
      </c>
      <c r="B268" t="s">
        <v>312</v>
      </c>
      <c r="C268">
        <v>55</v>
      </c>
      <c r="D268" t="s">
        <v>317</v>
      </c>
      <c r="E268" t="s">
        <v>322</v>
      </c>
      <c r="F268" t="s">
        <v>324</v>
      </c>
      <c r="G268">
        <v>56205</v>
      </c>
      <c r="H268" s="1">
        <v>43775</v>
      </c>
      <c r="J268">
        <v>1</v>
      </c>
      <c r="K268" t="s">
        <v>326</v>
      </c>
      <c r="L268" t="s">
        <v>329</v>
      </c>
      <c r="M268">
        <f ca="1">IF(HR_Table[[#This Row],[Exit_Date]]="",DATEDIF(HR_Table[[#This Row],[Joining_Date]],TODAY(),"Y"),DATEDIF(HR_Table[[#This Row],[Joining_Date]],HR_Table[[#This Row],[Exit_Date]],"Y"))</f>
        <v>6</v>
      </c>
      <c r="N268" t="str">
        <f>IF(HR_Table[[#This Row],[Age]]&lt;30,"Under 30",IF(HR_Table[[#This Row],[Age]]&lt;=40,"30-40","Above 40"))</f>
        <v>Above 40</v>
      </c>
      <c r="O268">
        <f>YEAR(HR_Table[[#This Row],[Joining_Date]])</f>
        <v>2019</v>
      </c>
    </row>
    <row r="269" spans="1:15" x14ac:dyDescent="0.3">
      <c r="A269" t="s">
        <v>279</v>
      </c>
      <c r="B269" t="s">
        <v>312</v>
      </c>
      <c r="C269">
        <v>23</v>
      </c>
      <c r="D269" t="s">
        <v>318</v>
      </c>
      <c r="E269" t="s">
        <v>320</v>
      </c>
      <c r="F269" t="s">
        <v>323</v>
      </c>
      <c r="G269">
        <v>69377</v>
      </c>
      <c r="H269" s="1">
        <v>43676</v>
      </c>
      <c r="I269" s="1">
        <v>44067</v>
      </c>
      <c r="J269">
        <v>2</v>
      </c>
      <c r="K269" t="s">
        <v>327</v>
      </c>
      <c r="L269" t="s">
        <v>330</v>
      </c>
      <c r="M269">
        <f ca="1">IF(HR_Table[[#This Row],[Exit_Date]]="",DATEDIF(HR_Table[[#This Row],[Joining_Date]],TODAY(),"Y"),DATEDIF(HR_Table[[#This Row],[Joining_Date]],HR_Table[[#This Row],[Exit_Date]],"Y"))</f>
        <v>1</v>
      </c>
      <c r="N269" t="str">
        <f>IF(HR_Table[[#This Row],[Age]]&lt;30,"Under 30",IF(HR_Table[[#This Row],[Age]]&lt;=40,"30-40","Above 40"))</f>
        <v>Under 30</v>
      </c>
      <c r="O269">
        <f>YEAR(HR_Table[[#This Row],[Joining_Date]])</f>
        <v>2019</v>
      </c>
    </row>
    <row r="270" spans="1:15" x14ac:dyDescent="0.3">
      <c r="A270" t="s">
        <v>280</v>
      </c>
      <c r="B270" t="s">
        <v>313</v>
      </c>
      <c r="C270">
        <v>49</v>
      </c>
      <c r="D270" t="s">
        <v>315</v>
      </c>
      <c r="E270" t="s">
        <v>320</v>
      </c>
      <c r="F270" t="s">
        <v>323</v>
      </c>
      <c r="G270">
        <v>77281</v>
      </c>
      <c r="H270" s="1">
        <v>43084</v>
      </c>
      <c r="J270">
        <v>4</v>
      </c>
      <c r="K270" t="s">
        <v>327</v>
      </c>
      <c r="L270" t="s">
        <v>329</v>
      </c>
      <c r="M270">
        <f ca="1">IF(HR_Table[[#This Row],[Exit_Date]]="",DATEDIF(HR_Table[[#This Row],[Joining_Date]],TODAY(),"Y"),DATEDIF(HR_Table[[#This Row],[Joining_Date]],HR_Table[[#This Row],[Exit_Date]],"Y"))</f>
        <v>8</v>
      </c>
      <c r="N270" t="str">
        <f>IF(HR_Table[[#This Row],[Age]]&lt;30,"Under 30",IF(HR_Table[[#This Row],[Age]]&lt;=40,"30-40","Above 40"))</f>
        <v>Above 40</v>
      </c>
      <c r="O270">
        <f>YEAR(HR_Table[[#This Row],[Joining_Date]])</f>
        <v>2017</v>
      </c>
    </row>
    <row r="271" spans="1:15" x14ac:dyDescent="0.3">
      <c r="A271" t="s">
        <v>281</v>
      </c>
      <c r="B271" t="s">
        <v>313</v>
      </c>
      <c r="C271">
        <v>23</v>
      </c>
      <c r="D271" t="s">
        <v>316</v>
      </c>
      <c r="E271" t="s">
        <v>319</v>
      </c>
      <c r="F271" t="s">
        <v>324</v>
      </c>
      <c r="G271">
        <v>63810</v>
      </c>
      <c r="H271" s="1">
        <v>44993</v>
      </c>
      <c r="J271">
        <v>4</v>
      </c>
      <c r="K271" t="s">
        <v>326</v>
      </c>
      <c r="L271" t="s">
        <v>329</v>
      </c>
      <c r="M271">
        <f ca="1">IF(HR_Table[[#This Row],[Exit_Date]]="",DATEDIF(HR_Table[[#This Row],[Joining_Date]],TODAY(),"Y"),DATEDIF(HR_Table[[#This Row],[Joining_Date]],HR_Table[[#This Row],[Exit_Date]],"Y"))</f>
        <v>3</v>
      </c>
      <c r="N271" t="str">
        <f>IF(HR_Table[[#This Row],[Age]]&lt;30,"Under 30",IF(HR_Table[[#This Row],[Age]]&lt;=40,"30-40","Above 40"))</f>
        <v>Under 30</v>
      </c>
      <c r="O271">
        <f>YEAR(HR_Table[[#This Row],[Joining_Date]])</f>
        <v>2023</v>
      </c>
    </row>
    <row r="272" spans="1:15" x14ac:dyDescent="0.3">
      <c r="A272" t="s">
        <v>282</v>
      </c>
      <c r="B272" t="s">
        <v>312</v>
      </c>
      <c r="C272">
        <v>28</v>
      </c>
      <c r="D272" t="s">
        <v>314</v>
      </c>
      <c r="E272" t="s">
        <v>319</v>
      </c>
      <c r="F272" t="s">
        <v>324</v>
      </c>
      <c r="G272">
        <v>46363</v>
      </c>
      <c r="H272" s="1">
        <v>45256</v>
      </c>
      <c r="J272">
        <v>2</v>
      </c>
      <c r="K272" t="s">
        <v>326</v>
      </c>
      <c r="L272" t="s">
        <v>329</v>
      </c>
      <c r="M272">
        <f ca="1">IF(HR_Table[[#This Row],[Exit_Date]]="",DATEDIF(HR_Table[[#This Row],[Joining_Date]],TODAY(),"Y"),DATEDIF(HR_Table[[#This Row],[Joining_Date]],HR_Table[[#This Row],[Exit_Date]],"Y"))</f>
        <v>2</v>
      </c>
      <c r="N272" t="str">
        <f>IF(HR_Table[[#This Row],[Age]]&lt;30,"Under 30",IF(HR_Table[[#This Row],[Age]]&lt;=40,"30-40","Above 40"))</f>
        <v>Under 30</v>
      </c>
      <c r="O272">
        <f>YEAR(HR_Table[[#This Row],[Joining_Date]])</f>
        <v>2023</v>
      </c>
    </row>
    <row r="273" spans="1:15" x14ac:dyDescent="0.3">
      <c r="A273" t="s">
        <v>283</v>
      </c>
      <c r="B273" t="s">
        <v>313</v>
      </c>
      <c r="C273">
        <v>55</v>
      </c>
      <c r="D273" t="s">
        <v>314</v>
      </c>
      <c r="E273" t="s">
        <v>320</v>
      </c>
      <c r="F273" t="s">
        <v>324</v>
      </c>
      <c r="G273">
        <v>65062</v>
      </c>
      <c r="H273" s="1">
        <v>43444</v>
      </c>
      <c r="J273">
        <v>4</v>
      </c>
      <c r="K273" t="s">
        <v>325</v>
      </c>
      <c r="L273" t="s">
        <v>329</v>
      </c>
      <c r="M273">
        <f ca="1">IF(HR_Table[[#This Row],[Exit_Date]]="",DATEDIF(HR_Table[[#This Row],[Joining_Date]],TODAY(),"Y"),DATEDIF(HR_Table[[#This Row],[Joining_Date]],HR_Table[[#This Row],[Exit_Date]],"Y"))</f>
        <v>7</v>
      </c>
      <c r="N273" t="str">
        <f>IF(HR_Table[[#This Row],[Age]]&lt;30,"Under 30",IF(HR_Table[[#This Row],[Age]]&lt;=40,"30-40","Above 40"))</f>
        <v>Above 40</v>
      </c>
      <c r="O273">
        <f>YEAR(HR_Table[[#This Row],[Joining_Date]])</f>
        <v>2018</v>
      </c>
    </row>
    <row r="274" spans="1:15" x14ac:dyDescent="0.3">
      <c r="A274" t="s">
        <v>284</v>
      </c>
      <c r="B274" t="s">
        <v>312</v>
      </c>
      <c r="C274">
        <v>41</v>
      </c>
      <c r="D274" t="s">
        <v>317</v>
      </c>
      <c r="E274" t="s">
        <v>320</v>
      </c>
      <c r="F274" t="s">
        <v>323</v>
      </c>
      <c r="G274">
        <v>69047</v>
      </c>
      <c r="H274" s="1">
        <v>43811</v>
      </c>
      <c r="J274">
        <v>2</v>
      </c>
      <c r="K274" t="s">
        <v>328</v>
      </c>
      <c r="L274" t="s">
        <v>329</v>
      </c>
      <c r="M274">
        <f ca="1">IF(HR_Table[[#This Row],[Exit_Date]]="",DATEDIF(HR_Table[[#This Row],[Joining_Date]],TODAY(),"Y"),DATEDIF(HR_Table[[#This Row],[Joining_Date]],HR_Table[[#This Row],[Exit_Date]],"Y"))</f>
        <v>6</v>
      </c>
      <c r="N274" t="str">
        <f>IF(HR_Table[[#This Row],[Age]]&lt;30,"Under 30",IF(HR_Table[[#This Row],[Age]]&lt;=40,"30-40","Above 40"))</f>
        <v>Above 40</v>
      </c>
      <c r="O274">
        <f>YEAR(HR_Table[[#This Row],[Joining_Date]])</f>
        <v>2019</v>
      </c>
    </row>
    <row r="275" spans="1:15" x14ac:dyDescent="0.3">
      <c r="A275" t="s">
        <v>285</v>
      </c>
      <c r="B275" t="s">
        <v>312</v>
      </c>
      <c r="C275">
        <v>45</v>
      </c>
      <c r="D275" t="s">
        <v>314</v>
      </c>
      <c r="E275" t="s">
        <v>319</v>
      </c>
      <c r="F275" t="s">
        <v>324</v>
      </c>
      <c r="G275">
        <v>52409</v>
      </c>
      <c r="H275" s="1">
        <v>43347</v>
      </c>
      <c r="J275">
        <v>5</v>
      </c>
      <c r="K275" t="s">
        <v>327</v>
      </c>
      <c r="L275" t="s">
        <v>329</v>
      </c>
      <c r="M275">
        <f ca="1">IF(HR_Table[[#This Row],[Exit_Date]]="",DATEDIF(HR_Table[[#This Row],[Joining_Date]],TODAY(),"Y"),DATEDIF(HR_Table[[#This Row],[Joining_Date]],HR_Table[[#This Row],[Exit_Date]],"Y"))</f>
        <v>7</v>
      </c>
      <c r="N275" t="str">
        <f>IF(HR_Table[[#This Row],[Age]]&lt;30,"Under 30",IF(HR_Table[[#This Row],[Age]]&lt;=40,"30-40","Above 40"))</f>
        <v>Above 40</v>
      </c>
      <c r="O275">
        <f>YEAR(HR_Table[[#This Row],[Joining_Date]])</f>
        <v>2018</v>
      </c>
    </row>
    <row r="276" spans="1:15" x14ac:dyDescent="0.3">
      <c r="A276" t="s">
        <v>286</v>
      </c>
      <c r="B276" t="s">
        <v>313</v>
      </c>
      <c r="C276">
        <v>33</v>
      </c>
      <c r="D276" t="s">
        <v>315</v>
      </c>
      <c r="E276" t="s">
        <v>319</v>
      </c>
      <c r="F276" t="s">
        <v>324</v>
      </c>
      <c r="G276">
        <v>43929</v>
      </c>
      <c r="H276" s="1">
        <v>43941</v>
      </c>
      <c r="J276">
        <v>2</v>
      </c>
      <c r="K276" t="s">
        <v>327</v>
      </c>
      <c r="L276" t="s">
        <v>329</v>
      </c>
      <c r="M276">
        <f ca="1">IF(HR_Table[[#This Row],[Exit_Date]]="",DATEDIF(HR_Table[[#This Row],[Joining_Date]],TODAY(),"Y"),DATEDIF(HR_Table[[#This Row],[Joining_Date]],HR_Table[[#This Row],[Exit_Date]],"Y"))</f>
        <v>5</v>
      </c>
      <c r="N276" t="str">
        <f>IF(HR_Table[[#This Row],[Age]]&lt;30,"Under 30",IF(HR_Table[[#This Row],[Age]]&lt;=40,"30-40","Above 40"))</f>
        <v>30-40</v>
      </c>
      <c r="O276">
        <f>YEAR(HR_Table[[#This Row],[Joining_Date]])</f>
        <v>2020</v>
      </c>
    </row>
    <row r="277" spans="1:15" x14ac:dyDescent="0.3">
      <c r="A277" t="s">
        <v>287</v>
      </c>
      <c r="B277" t="s">
        <v>313</v>
      </c>
      <c r="C277">
        <v>22</v>
      </c>
      <c r="D277" t="s">
        <v>317</v>
      </c>
      <c r="E277" t="s">
        <v>322</v>
      </c>
      <c r="F277" t="s">
        <v>323</v>
      </c>
      <c r="G277">
        <v>37787</v>
      </c>
      <c r="H277" s="1">
        <v>44217</v>
      </c>
      <c r="J277">
        <v>4</v>
      </c>
      <c r="K277" t="s">
        <v>326</v>
      </c>
      <c r="L277" t="s">
        <v>329</v>
      </c>
      <c r="M277">
        <f ca="1">IF(HR_Table[[#This Row],[Exit_Date]]="",DATEDIF(HR_Table[[#This Row],[Joining_Date]],TODAY(),"Y"),DATEDIF(HR_Table[[#This Row],[Joining_Date]],HR_Table[[#This Row],[Exit_Date]],"Y"))</f>
        <v>5</v>
      </c>
      <c r="N277" t="str">
        <f>IF(HR_Table[[#This Row],[Age]]&lt;30,"Under 30",IF(HR_Table[[#This Row],[Age]]&lt;=40,"30-40","Above 40"))</f>
        <v>Under 30</v>
      </c>
      <c r="O277">
        <f>YEAR(HR_Table[[#This Row],[Joining_Date]])</f>
        <v>2021</v>
      </c>
    </row>
    <row r="278" spans="1:15" x14ac:dyDescent="0.3">
      <c r="A278" t="s">
        <v>288</v>
      </c>
      <c r="B278" t="s">
        <v>313</v>
      </c>
      <c r="C278">
        <v>53</v>
      </c>
      <c r="D278" t="s">
        <v>318</v>
      </c>
      <c r="E278" t="s">
        <v>321</v>
      </c>
      <c r="F278" t="s">
        <v>323</v>
      </c>
      <c r="G278">
        <v>62053</v>
      </c>
      <c r="H278" s="1">
        <v>45174</v>
      </c>
      <c r="J278">
        <v>1</v>
      </c>
      <c r="K278" t="s">
        <v>327</v>
      </c>
      <c r="L278" t="s">
        <v>329</v>
      </c>
      <c r="M278">
        <f ca="1">IF(HR_Table[[#This Row],[Exit_Date]]="",DATEDIF(HR_Table[[#This Row],[Joining_Date]],TODAY(),"Y"),DATEDIF(HR_Table[[#This Row],[Joining_Date]],HR_Table[[#This Row],[Exit_Date]],"Y"))</f>
        <v>2</v>
      </c>
      <c r="N278" t="str">
        <f>IF(HR_Table[[#This Row],[Age]]&lt;30,"Under 30",IF(HR_Table[[#This Row],[Age]]&lt;=40,"30-40","Above 40"))</f>
        <v>Above 40</v>
      </c>
      <c r="O278">
        <f>YEAR(HR_Table[[#This Row],[Joining_Date]])</f>
        <v>2023</v>
      </c>
    </row>
    <row r="279" spans="1:15" x14ac:dyDescent="0.3">
      <c r="A279" t="s">
        <v>289</v>
      </c>
      <c r="B279" t="s">
        <v>313</v>
      </c>
      <c r="C279">
        <v>32</v>
      </c>
      <c r="D279" t="s">
        <v>317</v>
      </c>
      <c r="E279" t="s">
        <v>322</v>
      </c>
      <c r="F279" t="s">
        <v>324</v>
      </c>
      <c r="G279">
        <v>61026</v>
      </c>
      <c r="H279" s="1">
        <v>42503</v>
      </c>
      <c r="J279">
        <v>5</v>
      </c>
      <c r="K279" t="s">
        <v>325</v>
      </c>
      <c r="L279" t="s">
        <v>329</v>
      </c>
      <c r="M279">
        <f ca="1">IF(HR_Table[[#This Row],[Exit_Date]]="",DATEDIF(HR_Table[[#This Row],[Joining_Date]],TODAY(),"Y"),DATEDIF(HR_Table[[#This Row],[Joining_Date]],HR_Table[[#This Row],[Exit_Date]],"Y"))</f>
        <v>9</v>
      </c>
      <c r="N279" t="str">
        <f>IF(HR_Table[[#This Row],[Age]]&lt;30,"Under 30",IF(HR_Table[[#This Row],[Age]]&lt;=40,"30-40","Above 40"))</f>
        <v>30-40</v>
      </c>
      <c r="O279">
        <f>YEAR(HR_Table[[#This Row],[Joining_Date]])</f>
        <v>2016</v>
      </c>
    </row>
    <row r="280" spans="1:15" x14ac:dyDescent="0.3">
      <c r="A280" t="s">
        <v>290</v>
      </c>
      <c r="B280" t="s">
        <v>313</v>
      </c>
      <c r="C280">
        <v>24</v>
      </c>
      <c r="D280" t="s">
        <v>315</v>
      </c>
      <c r="E280" t="s">
        <v>320</v>
      </c>
      <c r="F280" t="s">
        <v>323</v>
      </c>
      <c r="G280">
        <v>89865</v>
      </c>
      <c r="H280" s="1">
        <v>42837</v>
      </c>
      <c r="J280">
        <v>4</v>
      </c>
      <c r="K280" t="s">
        <v>325</v>
      </c>
      <c r="L280" t="s">
        <v>329</v>
      </c>
      <c r="M280">
        <f ca="1">IF(HR_Table[[#This Row],[Exit_Date]]="",DATEDIF(HR_Table[[#This Row],[Joining_Date]],TODAY(),"Y"),DATEDIF(HR_Table[[#This Row],[Joining_Date]],HR_Table[[#This Row],[Exit_Date]],"Y"))</f>
        <v>8</v>
      </c>
      <c r="N280" t="str">
        <f>IF(HR_Table[[#This Row],[Age]]&lt;30,"Under 30",IF(HR_Table[[#This Row],[Age]]&lt;=40,"30-40","Above 40"))</f>
        <v>Under 30</v>
      </c>
      <c r="O280">
        <f>YEAR(HR_Table[[#This Row],[Joining_Date]])</f>
        <v>2017</v>
      </c>
    </row>
    <row r="281" spans="1:15" x14ac:dyDescent="0.3">
      <c r="A281" t="s">
        <v>291</v>
      </c>
      <c r="B281" t="s">
        <v>312</v>
      </c>
      <c r="C281">
        <v>50</v>
      </c>
      <c r="D281" t="s">
        <v>316</v>
      </c>
      <c r="E281" t="s">
        <v>320</v>
      </c>
      <c r="F281" t="s">
        <v>324</v>
      </c>
      <c r="G281">
        <v>81505</v>
      </c>
      <c r="H281" s="1">
        <v>43589</v>
      </c>
      <c r="J281">
        <v>1</v>
      </c>
      <c r="K281" t="s">
        <v>326</v>
      </c>
      <c r="L281" t="s">
        <v>329</v>
      </c>
      <c r="M281">
        <f ca="1">IF(HR_Table[[#This Row],[Exit_Date]]="",DATEDIF(HR_Table[[#This Row],[Joining_Date]],TODAY(),"Y"),DATEDIF(HR_Table[[#This Row],[Joining_Date]],HR_Table[[#This Row],[Exit_Date]],"Y"))</f>
        <v>6</v>
      </c>
      <c r="N281" t="str">
        <f>IF(HR_Table[[#This Row],[Age]]&lt;30,"Under 30",IF(HR_Table[[#This Row],[Age]]&lt;=40,"30-40","Above 40"))</f>
        <v>Above 40</v>
      </c>
      <c r="O281">
        <f>YEAR(HR_Table[[#This Row],[Joining_Date]])</f>
        <v>2019</v>
      </c>
    </row>
    <row r="282" spans="1:15" x14ac:dyDescent="0.3">
      <c r="A282" t="s">
        <v>292</v>
      </c>
      <c r="B282" t="s">
        <v>313</v>
      </c>
      <c r="C282">
        <v>49</v>
      </c>
      <c r="D282" t="s">
        <v>314</v>
      </c>
      <c r="E282" t="s">
        <v>319</v>
      </c>
      <c r="F282" t="s">
        <v>323</v>
      </c>
      <c r="G282">
        <v>76435</v>
      </c>
      <c r="H282" s="1">
        <v>43340</v>
      </c>
      <c r="I282" s="1">
        <v>45150</v>
      </c>
      <c r="J282">
        <v>2</v>
      </c>
      <c r="K282" t="s">
        <v>327</v>
      </c>
      <c r="L282" t="s">
        <v>330</v>
      </c>
      <c r="M282">
        <f ca="1">IF(HR_Table[[#This Row],[Exit_Date]]="",DATEDIF(HR_Table[[#This Row],[Joining_Date]],TODAY(),"Y"),DATEDIF(HR_Table[[#This Row],[Joining_Date]],HR_Table[[#This Row],[Exit_Date]],"Y"))</f>
        <v>4</v>
      </c>
      <c r="N282" t="str">
        <f>IF(HR_Table[[#This Row],[Age]]&lt;30,"Under 30",IF(HR_Table[[#This Row],[Age]]&lt;=40,"30-40","Above 40"))</f>
        <v>Above 40</v>
      </c>
      <c r="O282">
        <f>YEAR(HR_Table[[#This Row],[Joining_Date]])</f>
        <v>2018</v>
      </c>
    </row>
    <row r="283" spans="1:15" x14ac:dyDescent="0.3">
      <c r="A283" t="s">
        <v>293</v>
      </c>
      <c r="B283" t="s">
        <v>313</v>
      </c>
      <c r="C283">
        <v>32</v>
      </c>
      <c r="D283" t="s">
        <v>314</v>
      </c>
      <c r="E283" t="s">
        <v>320</v>
      </c>
      <c r="F283" t="s">
        <v>324</v>
      </c>
      <c r="G283">
        <v>43961</v>
      </c>
      <c r="H283" s="1">
        <v>44705</v>
      </c>
      <c r="J283">
        <v>5</v>
      </c>
      <c r="K283" t="s">
        <v>328</v>
      </c>
      <c r="L283" t="s">
        <v>329</v>
      </c>
      <c r="M283">
        <f ca="1">IF(HR_Table[[#This Row],[Exit_Date]]="",DATEDIF(HR_Table[[#This Row],[Joining_Date]],TODAY(),"Y"),DATEDIF(HR_Table[[#This Row],[Joining_Date]],HR_Table[[#This Row],[Exit_Date]],"Y"))</f>
        <v>3</v>
      </c>
      <c r="N283" t="str">
        <f>IF(HR_Table[[#This Row],[Age]]&lt;30,"Under 30",IF(HR_Table[[#This Row],[Age]]&lt;=40,"30-40","Above 40"))</f>
        <v>30-40</v>
      </c>
      <c r="O283">
        <f>YEAR(HR_Table[[#This Row],[Joining_Date]])</f>
        <v>2022</v>
      </c>
    </row>
    <row r="284" spans="1:15" x14ac:dyDescent="0.3">
      <c r="A284" t="s">
        <v>294</v>
      </c>
      <c r="B284" t="s">
        <v>312</v>
      </c>
      <c r="C284">
        <v>48</v>
      </c>
      <c r="D284" t="s">
        <v>315</v>
      </c>
      <c r="E284" t="s">
        <v>319</v>
      </c>
      <c r="F284" t="s">
        <v>324</v>
      </c>
      <c r="G284">
        <v>81822</v>
      </c>
      <c r="H284" s="1">
        <v>45152</v>
      </c>
      <c r="J284">
        <v>2</v>
      </c>
      <c r="K284" t="s">
        <v>327</v>
      </c>
      <c r="L284" t="s">
        <v>329</v>
      </c>
      <c r="M284">
        <f ca="1">IF(HR_Table[[#This Row],[Exit_Date]]="",DATEDIF(HR_Table[[#This Row],[Joining_Date]],TODAY(),"Y"),DATEDIF(HR_Table[[#This Row],[Joining_Date]],HR_Table[[#This Row],[Exit_Date]],"Y"))</f>
        <v>2</v>
      </c>
      <c r="N284" t="str">
        <f>IF(HR_Table[[#This Row],[Age]]&lt;30,"Under 30",IF(HR_Table[[#This Row],[Age]]&lt;=40,"30-40","Above 40"))</f>
        <v>Above 40</v>
      </c>
      <c r="O284">
        <f>YEAR(HR_Table[[#This Row],[Joining_Date]])</f>
        <v>2023</v>
      </c>
    </row>
    <row r="285" spans="1:15" x14ac:dyDescent="0.3">
      <c r="A285" t="s">
        <v>295</v>
      </c>
      <c r="B285" t="s">
        <v>312</v>
      </c>
      <c r="C285">
        <v>47</v>
      </c>
      <c r="D285" t="s">
        <v>316</v>
      </c>
      <c r="E285" t="s">
        <v>320</v>
      </c>
      <c r="F285" t="s">
        <v>323</v>
      </c>
      <c r="G285">
        <v>62842</v>
      </c>
      <c r="H285" s="1">
        <v>42969</v>
      </c>
      <c r="J285">
        <v>3</v>
      </c>
      <c r="K285" t="s">
        <v>326</v>
      </c>
      <c r="L285" t="s">
        <v>329</v>
      </c>
      <c r="M285">
        <f ca="1">IF(HR_Table[[#This Row],[Exit_Date]]="",DATEDIF(HR_Table[[#This Row],[Joining_Date]],TODAY(),"Y"),DATEDIF(HR_Table[[#This Row],[Joining_Date]],HR_Table[[#This Row],[Exit_Date]],"Y"))</f>
        <v>8</v>
      </c>
      <c r="N285" t="str">
        <f>IF(HR_Table[[#This Row],[Age]]&lt;30,"Under 30",IF(HR_Table[[#This Row],[Age]]&lt;=40,"30-40","Above 40"))</f>
        <v>Above 40</v>
      </c>
      <c r="O285">
        <f>YEAR(HR_Table[[#This Row],[Joining_Date]])</f>
        <v>2017</v>
      </c>
    </row>
    <row r="286" spans="1:15" x14ac:dyDescent="0.3">
      <c r="A286" t="s">
        <v>296</v>
      </c>
      <c r="B286" t="s">
        <v>312</v>
      </c>
      <c r="C286">
        <v>47</v>
      </c>
      <c r="D286" t="s">
        <v>318</v>
      </c>
      <c r="E286" t="s">
        <v>320</v>
      </c>
      <c r="F286" t="s">
        <v>324</v>
      </c>
      <c r="G286">
        <v>54798</v>
      </c>
      <c r="H286" s="1">
        <v>44221</v>
      </c>
      <c r="J286">
        <v>4</v>
      </c>
      <c r="K286" t="s">
        <v>328</v>
      </c>
      <c r="L286" t="s">
        <v>329</v>
      </c>
      <c r="M286">
        <f ca="1">IF(HR_Table[[#This Row],[Exit_Date]]="",DATEDIF(HR_Table[[#This Row],[Joining_Date]],TODAY(),"Y"),DATEDIF(HR_Table[[#This Row],[Joining_Date]],HR_Table[[#This Row],[Exit_Date]],"Y"))</f>
        <v>5</v>
      </c>
      <c r="N286" t="str">
        <f>IF(HR_Table[[#This Row],[Age]]&lt;30,"Under 30",IF(HR_Table[[#This Row],[Age]]&lt;=40,"30-40","Above 40"))</f>
        <v>Above 40</v>
      </c>
      <c r="O286">
        <f>YEAR(HR_Table[[#This Row],[Joining_Date]])</f>
        <v>2021</v>
      </c>
    </row>
    <row r="287" spans="1:15" x14ac:dyDescent="0.3">
      <c r="A287" t="s">
        <v>297</v>
      </c>
      <c r="B287" t="s">
        <v>312</v>
      </c>
      <c r="C287">
        <v>51</v>
      </c>
      <c r="D287" t="s">
        <v>315</v>
      </c>
      <c r="E287" t="s">
        <v>320</v>
      </c>
      <c r="F287" t="s">
        <v>323</v>
      </c>
      <c r="G287">
        <v>77145</v>
      </c>
      <c r="H287" s="1">
        <v>42380</v>
      </c>
      <c r="J287">
        <v>5</v>
      </c>
      <c r="K287" t="s">
        <v>326</v>
      </c>
      <c r="L287" t="s">
        <v>329</v>
      </c>
      <c r="M287">
        <f ca="1">IF(HR_Table[[#This Row],[Exit_Date]]="",DATEDIF(HR_Table[[#This Row],[Joining_Date]],TODAY(),"Y"),DATEDIF(HR_Table[[#This Row],[Joining_Date]],HR_Table[[#This Row],[Exit_Date]],"Y"))</f>
        <v>10</v>
      </c>
      <c r="N287" t="str">
        <f>IF(HR_Table[[#This Row],[Age]]&lt;30,"Under 30",IF(HR_Table[[#This Row],[Age]]&lt;=40,"30-40","Above 40"))</f>
        <v>Above 40</v>
      </c>
      <c r="O287">
        <f>YEAR(HR_Table[[#This Row],[Joining_Date]])</f>
        <v>2016</v>
      </c>
    </row>
    <row r="288" spans="1:15" x14ac:dyDescent="0.3">
      <c r="A288" t="s">
        <v>298</v>
      </c>
      <c r="B288" t="s">
        <v>313</v>
      </c>
      <c r="C288">
        <v>39</v>
      </c>
      <c r="D288" t="s">
        <v>316</v>
      </c>
      <c r="E288" t="s">
        <v>320</v>
      </c>
      <c r="F288" t="s">
        <v>324</v>
      </c>
      <c r="G288">
        <v>47135</v>
      </c>
      <c r="H288" s="1">
        <v>44129</v>
      </c>
      <c r="J288">
        <v>5</v>
      </c>
      <c r="K288" t="s">
        <v>327</v>
      </c>
      <c r="L288" t="s">
        <v>329</v>
      </c>
      <c r="M288">
        <f ca="1">IF(HR_Table[[#This Row],[Exit_Date]]="",DATEDIF(HR_Table[[#This Row],[Joining_Date]],TODAY(),"Y"),DATEDIF(HR_Table[[#This Row],[Joining_Date]],HR_Table[[#This Row],[Exit_Date]],"Y"))</f>
        <v>5</v>
      </c>
      <c r="N288" t="str">
        <f>IF(HR_Table[[#This Row],[Age]]&lt;30,"Under 30",IF(HR_Table[[#This Row],[Age]]&lt;=40,"30-40","Above 40"))</f>
        <v>30-40</v>
      </c>
      <c r="O288">
        <f>YEAR(HR_Table[[#This Row],[Joining_Date]])</f>
        <v>2020</v>
      </c>
    </row>
    <row r="289" spans="1:15" x14ac:dyDescent="0.3">
      <c r="A289" t="s">
        <v>299</v>
      </c>
      <c r="B289" t="s">
        <v>312</v>
      </c>
      <c r="C289">
        <v>24</v>
      </c>
      <c r="D289" t="s">
        <v>315</v>
      </c>
      <c r="E289" t="s">
        <v>319</v>
      </c>
      <c r="F289" t="s">
        <v>324</v>
      </c>
      <c r="G289">
        <v>26067</v>
      </c>
      <c r="H289" s="1">
        <v>44357</v>
      </c>
      <c r="J289">
        <v>1</v>
      </c>
      <c r="K289" t="s">
        <v>327</v>
      </c>
      <c r="L289" t="s">
        <v>329</v>
      </c>
      <c r="M289">
        <f ca="1">IF(HR_Table[[#This Row],[Exit_Date]]="",DATEDIF(HR_Table[[#This Row],[Joining_Date]],TODAY(),"Y"),DATEDIF(HR_Table[[#This Row],[Joining_Date]],HR_Table[[#This Row],[Exit_Date]],"Y"))</f>
        <v>4</v>
      </c>
      <c r="N289" t="str">
        <f>IF(HR_Table[[#This Row],[Age]]&lt;30,"Under 30",IF(HR_Table[[#This Row],[Age]]&lt;=40,"30-40","Above 40"))</f>
        <v>Under 30</v>
      </c>
      <c r="O289">
        <f>YEAR(HR_Table[[#This Row],[Joining_Date]])</f>
        <v>2021</v>
      </c>
    </row>
    <row r="290" spans="1:15" x14ac:dyDescent="0.3">
      <c r="A290" t="s">
        <v>300</v>
      </c>
      <c r="B290" t="s">
        <v>312</v>
      </c>
      <c r="C290">
        <v>30</v>
      </c>
      <c r="D290" t="s">
        <v>318</v>
      </c>
      <c r="E290" t="s">
        <v>320</v>
      </c>
      <c r="F290" t="s">
        <v>323</v>
      </c>
      <c r="G290">
        <v>82306</v>
      </c>
      <c r="H290" s="1">
        <v>44239</v>
      </c>
      <c r="I290" s="1">
        <v>45415</v>
      </c>
      <c r="J290">
        <v>3</v>
      </c>
      <c r="K290" t="s">
        <v>325</v>
      </c>
      <c r="L290" t="s">
        <v>330</v>
      </c>
      <c r="M290">
        <f ca="1">IF(HR_Table[[#This Row],[Exit_Date]]="",DATEDIF(HR_Table[[#This Row],[Joining_Date]],TODAY(),"Y"),DATEDIF(HR_Table[[#This Row],[Joining_Date]],HR_Table[[#This Row],[Exit_Date]],"Y"))</f>
        <v>3</v>
      </c>
      <c r="N290" t="str">
        <f>IF(HR_Table[[#This Row],[Age]]&lt;30,"Under 30",IF(HR_Table[[#This Row],[Age]]&lt;=40,"30-40","Above 40"))</f>
        <v>30-40</v>
      </c>
      <c r="O290">
        <f>YEAR(HR_Table[[#This Row],[Joining_Date]])</f>
        <v>2021</v>
      </c>
    </row>
    <row r="291" spans="1:15" x14ac:dyDescent="0.3">
      <c r="A291" t="s">
        <v>301</v>
      </c>
      <c r="B291" t="s">
        <v>312</v>
      </c>
      <c r="C291">
        <v>25</v>
      </c>
      <c r="D291" t="s">
        <v>317</v>
      </c>
      <c r="E291" t="s">
        <v>322</v>
      </c>
      <c r="F291" t="s">
        <v>324</v>
      </c>
      <c r="G291">
        <v>72578</v>
      </c>
      <c r="H291" s="1">
        <v>43395</v>
      </c>
      <c r="I291" s="1">
        <v>45055</v>
      </c>
      <c r="J291">
        <v>2</v>
      </c>
      <c r="K291" t="s">
        <v>326</v>
      </c>
      <c r="L291" t="s">
        <v>330</v>
      </c>
      <c r="M291">
        <f ca="1">IF(HR_Table[[#This Row],[Exit_Date]]="",DATEDIF(HR_Table[[#This Row],[Joining_Date]],TODAY(),"Y"),DATEDIF(HR_Table[[#This Row],[Joining_Date]],HR_Table[[#This Row],[Exit_Date]],"Y"))</f>
        <v>4</v>
      </c>
      <c r="N291" t="str">
        <f>IF(HR_Table[[#This Row],[Age]]&lt;30,"Under 30",IF(HR_Table[[#This Row],[Age]]&lt;=40,"30-40","Above 40"))</f>
        <v>Under 30</v>
      </c>
      <c r="O291">
        <f>YEAR(HR_Table[[#This Row],[Joining_Date]])</f>
        <v>2018</v>
      </c>
    </row>
    <row r="292" spans="1:15" x14ac:dyDescent="0.3">
      <c r="A292" t="s">
        <v>302</v>
      </c>
      <c r="B292" t="s">
        <v>313</v>
      </c>
      <c r="C292">
        <v>26</v>
      </c>
      <c r="D292" t="s">
        <v>314</v>
      </c>
      <c r="E292" t="s">
        <v>319</v>
      </c>
      <c r="F292" t="s">
        <v>323</v>
      </c>
      <c r="G292">
        <v>59042</v>
      </c>
      <c r="H292" s="1">
        <v>45252</v>
      </c>
      <c r="J292">
        <v>4</v>
      </c>
      <c r="K292" t="s">
        <v>325</v>
      </c>
      <c r="L292" t="s">
        <v>329</v>
      </c>
      <c r="M292">
        <f ca="1">IF(HR_Table[[#This Row],[Exit_Date]]="",DATEDIF(HR_Table[[#This Row],[Joining_Date]],TODAY(),"Y"),DATEDIF(HR_Table[[#This Row],[Joining_Date]],HR_Table[[#This Row],[Exit_Date]],"Y"))</f>
        <v>2</v>
      </c>
      <c r="N292" t="str">
        <f>IF(HR_Table[[#This Row],[Age]]&lt;30,"Under 30",IF(HR_Table[[#This Row],[Age]]&lt;=40,"30-40","Above 40"))</f>
        <v>Under 30</v>
      </c>
      <c r="O292">
        <f>YEAR(HR_Table[[#This Row],[Joining_Date]])</f>
        <v>2023</v>
      </c>
    </row>
    <row r="293" spans="1:15" x14ac:dyDescent="0.3">
      <c r="A293" t="s">
        <v>303</v>
      </c>
      <c r="B293" t="s">
        <v>312</v>
      </c>
      <c r="C293">
        <v>49</v>
      </c>
      <c r="D293" t="s">
        <v>314</v>
      </c>
      <c r="E293" t="s">
        <v>319</v>
      </c>
      <c r="F293" t="s">
        <v>324</v>
      </c>
      <c r="G293">
        <v>29641</v>
      </c>
      <c r="H293" s="1">
        <v>45219</v>
      </c>
      <c r="J293">
        <v>2</v>
      </c>
      <c r="K293" t="s">
        <v>326</v>
      </c>
      <c r="L293" t="s">
        <v>329</v>
      </c>
      <c r="M293">
        <f ca="1">IF(HR_Table[[#This Row],[Exit_Date]]="",DATEDIF(HR_Table[[#This Row],[Joining_Date]],TODAY(),"Y"),DATEDIF(HR_Table[[#This Row],[Joining_Date]],HR_Table[[#This Row],[Exit_Date]],"Y"))</f>
        <v>2</v>
      </c>
      <c r="N293" t="str">
        <f>IF(HR_Table[[#This Row],[Age]]&lt;30,"Under 30",IF(HR_Table[[#This Row],[Age]]&lt;=40,"30-40","Above 40"))</f>
        <v>Above 40</v>
      </c>
      <c r="O293">
        <f>YEAR(HR_Table[[#This Row],[Joining_Date]])</f>
        <v>2023</v>
      </c>
    </row>
    <row r="294" spans="1:15" x14ac:dyDescent="0.3">
      <c r="A294" t="s">
        <v>304</v>
      </c>
      <c r="B294" t="s">
        <v>312</v>
      </c>
      <c r="C294">
        <v>42</v>
      </c>
      <c r="D294" t="s">
        <v>314</v>
      </c>
      <c r="E294" t="s">
        <v>320</v>
      </c>
      <c r="F294" t="s">
        <v>324</v>
      </c>
      <c r="G294">
        <v>33986</v>
      </c>
      <c r="H294" s="1">
        <v>45363</v>
      </c>
      <c r="J294">
        <v>4</v>
      </c>
      <c r="K294" t="s">
        <v>327</v>
      </c>
      <c r="L294" t="s">
        <v>329</v>
      </c>
      <c r="M294">
        <f ca="1">IF(HR_Table[[#This Row],[Exit_Date]]="",DATEDIF(HR_Table[[#This Row],[Joining_Date]],TODAY(),"Y"),DATEDIF(HR_Table[[#This Row],[Joining_Date]],HR_Table[[#This Row],[Exit_Date]],"Y"))</f>
        <v>1</v>
      </c>
      <c r="N294" t="str">
        <f>IF(HR_Table[[#This Row],[Age]]&lt;30,"Under 30",IF(HR_Table[[#This Row],[Age]]&lt;=40,"30-40","Above 40"))</f>
        <v>Above 40</v>
      </c>
      <c r="O294">
        <f>YEAR(HR_Table[[#This Row],[Joining_Date]])</f>
        <v>2024</v>
      </c>
    </row>
    <row r="295" spans="1:15" x14ac:dyDescent="0.3">
      <c r="A295" t="s">
        <v>305</v>
      </c>
      <c r="B295" t="s">
        <v>312</v>
      </c>
      <c r="C295">
        <v>32</v>
      </c>
      <c r="D295" t="s">
        <v>316</v>
      </c>
      <c r="E295" t="s">
        <v>320</v>
      </c>
      <c r="F295" t="s">
        <v>324</v>
      </c>
      <c r="G295">
        <v>72345</v>
      </c>
      <c r="H295" s="1">
        <v>42650</v>
      </c>
      <c r="J295">
        <v>2</v>
      </c>
      <c r="K295" t="s">
        <v>327</v>
      </c>
      <c r="L295" t="s">
        <v>329</v>
      </c>
      <c r="M295">
        <f ca="1">IF(HR_Table[[#This Row],[Exit_Date]]="",DATEDIF(HR_Table[[#This Row],[Joining_Date]],TODAY(),"Y"),DATEDIF(HR_Table[[#This Row],[Joining_Date]],HR_Table[[#This Row],[Exit_Date]],"Y"))</f>
        <v>9</v>
      </c>
      <c r="N295" t="str">
        <f>IF(HR_Table[[#This Row],[Age]]&lt;30,"Under 30",IF(HR_Table[[#This Row],[Age]]&lt;=40,"30-40","Above 40"))</f>
        <v>30-40</v>
      </c>
      <c r="O295">
        <f>YEAR(HR_Table[[#This Row],[Joining_Date]])</f>
        <v>2016</v>
      </c>
    </row>
    <row r="296" spans="1:15" x14ac:dyDescent="0.3">
      <c r="A296" t="s">
        <v>306</v>
      </c>
      <c r="B296" t="s">
        <v>312</v>
      </c>
      <c r="C296">
        <v>27</v>
      </c>
      <c r="D296" t="s">
        <v>318</v>
      </c>
      <c r="E296" t="s">
        <v>321</v>
      </c>
      <c r="F296" t="s">
        <v>323</v>
      </c>
      <c r="G296">
        <v>74312</v>
      </c>
      <c r="H296" s="1">
        <v>44893</v>
      </c>
      <c r="J296">
        <v>1</v>
      </c>
      <c r="K296" t="s">
        <v>326</v>
      </c>
      <c r="L296" t="s">
        <v>329</v>
      </c>
      <c r="M296">
        <f ca="1">IF(HR_Table[[#This Row],[Exit_Date]]="",DATEDIF(HR_Table[[#This Row],[Joining_Date]],TODAY(),"Y"),DATEDIF(HR_Table[[#This Row],[Joining_Date]],HR_Table[[#This Row],[Exit_Date]],"Y"))</f>
        <v>3</v>
      </c>
      <c r="N296" t="str">
        <f>IF(HR_Table[[#This Row],[Age]]&lt;30,"Under 30",IF(HR_Table[[#This Row],[Age]]&lt;=40,"30-40","Above 40"))</f>
        <v>Under 30</v>
      </c>
      <c r="O296">
        <f>YEAR(HR_Table[[#This Row],[Joining_Date]])</f>
        <v>2022</v>
      </c>
    </row>
    <row r="297" spans="1:15" x14ac:dyDescent="0.3">
      <c r="A297" t="s">
        <v>307</v>
      </c>
      <c r="B297" t="s">
        <v>312</v>
      </c>
      <c r="C297">
        <v>37</v>
      </c>
      <c r="D297" t="s">
        <v>317</v>
      </c>
      <c r="E297" t="s">
        <v>322</v>
      </c>
      <c r="F297" t="s">
        <v>323</v>
      </c>
      <c r="G297">
        <v>41263</v>
      </c>
      <c r="H297" s="1">
        <v>44128</v>
      </c>
      <c r="J297">
        <v>5</v>
      </c>
      <c r="K297" t="s">
        <v>328</v>
      </c>
      <c r="L297" t="s">
        <v>329</v>
      </c>
      <c r="M297">
        <f ca="1">IF(HR_Table[[#This Row],[Exit_Date]]="",DATEDIF(HR_Table[[#This Row],[Joining_Date]],TODAY(),"Y"),DATEDIF(HR_Table[[#This Row],[Joining_Date]],HR_Table[[#This Row],[Exit_Date]],"Y"))</f>
        <v>5</v>
      </c>
      <c r="N297" t="str">
        <f>IF(HR_Table[[#This Row],[Age]]&lt;30,"Under 30",IF(HR_Table[[#This Row],[Age]]&lt;=40,"30-40","Above 40"))</f>
        <v>30-40</v>
      </c>
      <c r="O297">
        <f>YEAR(HR_Table[[#This Row],[Joining_Date]])</f>
        <v>2020</v>
      </c>
    </row>
    <row r="298" spans="1:15" x14ac:dyDescent="0.3">
      <c r="A298" t="s">
        <v>308</v>
      </c>
      <c r="B298" t="s">
        <v>312</v>
      </c>
      <c r="C298">
        <v>55</v>
      </c>
      <c r="D298" t="s">
        <v>314</v>
      </c>
      <c r="E298" t="s">
        <v>319</v>
      </c>
      <c r="F298" t="s">
        <v>324</v>
      </c>
      <c r="G298">
        <v>44368</v>
      </c>
      <c r="H298" s="1">
        <v>45066</v>
      </c>
      <c r="J298">
        <v>1</v>
      </c>
      <c r="K298" t="s">
        <v>327</v>
      </c>
      <c r="L298" t="s">
        <v>329</v>
      </c>
      <c r="M298">
        <f ca="1">IF(HR_Table[[#This Row],[Exit_Date]]="",DATEDIF(HR_Table[[#This Row],[Joining_Date]],TODAY(),"Y"),DATEDIF(HR_Table[[#This Row],[Joining_Date]],HR_Table[[#This Row],[Exit_Date]],"Y"))</f>
        <v>2</v>
      </c>
      <c r="N298" t="str">
        <f>IF(HR_Table[[#This Row],[Age]]&lt;30,"Under 30",IF(HR_Table[[#This Row],[Age]]&lt;=40,"30-40","Above 40"))</f>
        <v>Above 40</v>
      </c>
      <c r="O298">
        <f>YEAR(HR_Table[[#This Row],[Joining_Date]])</f>
        <v>2023</v>
      </c>
    </row>
    <row r="299" spans="1:15" x14ac:dyDescent="0.3">
      <c r="A299" t="s">
        <v>309</v>
      </c>
      <c r="B299" t="s">
        <v>312</v>
      </c>
      <c r="C299">
        <v>55</v>
      </c>
      <c r="D299" t="s">
        <v>318</v>
      </c>
      <c r="E299" t="s">
        <v>321</v>
      </c>
      <c r="F299" t="s">
        <v>324</v>
      </c>
      <c r="G299">
        <v>86205</v>
      </c>
      <c r="H299" s="1">
        <v>43950</v>
      </c>
      <c r="I299" s="1">
        <v>45273</v>
      </c>
      <c r="J299">
        <v>3</v>
      </c>
      <c r="K299" t="s">
        <v>327</v>
      </c>
      <c r="L299" t="s">
        <v>330</v>
      </c>
      <c r="M299">
        <f ca="1">IF(HR_Table[[#This Row],[Exit_Date]]="",DATEDIF(HR_Table[[#This Row],[Joining_Date]],TODAY(),"Y"),DATEDIF(HR_Table[[#This Row],[Joining_Date]],HR_Table[[#This Row],[Exit_Date]],"Y"))</f>
        <v>3</v>
      </c>
      <c r="N299" t="str">
        <f>IF(HR_Table[[#This Row],[Age]]&lt;30,"Under 30",IF(HR_Table[[#This Row],[Age]]&lt;=40,"30-40","Above 40"))</f>
        <v>Above 40</v>
      </c>
      <c r="O299">
        <f>YEAR(HR_Table[[#This Row],[Joining_Date]])</f>
        <v>2020</v>
      </c>
    </row>
    <row r="300" spans="1:15" x14ac:dyDescent="0.3">
      <c r="A300" t="s">
        <v>310</v>
      </c>
      <c r="B300" t="s">
        <v>312</v>
      </c>
      <c r="C300">
        <v>52</v>
      </c>
      <c r="D300" t="s">
        <v>318</v>
      </c>
      <c r="E300" t="s">
        <v>321</v>
      </c>
      <c r="F300" t="s">
        <v>323</v>
      </c>
      <c r="G300">
        <v>63493</v>
      </c>
      <c r="H300" s="1">
        <v>44698</v>
      </c>
      <c r="J300">
        <v>1</v>
      </c>
      <c r="K300" t="s">
        <v>325</v>
      </c>
      <c r="L300" t="s">
        <v>329</v>
      </c>
      <c r="M300">
        <f ca="1">IF(HR_Table[[#This Row],[Exit_Date]]="",DATEDIF(HR_Table[[#This Row],[Joining_Date]],TODAY(),"Y"),DATEDIF(HR_Table[[#This Row],[Joining_Date]],HR_Table[[#This Row],[Exit_Date]],"Y"))</f>
        <v>3</v>
      </c>
      <c r="N300" t="str">
        <f>IF(HR_Table[[#This Row],[Age]]&lt;30,"Under 30",IF(HR_Table[[#This Row],[Age]]&lt;=40,"30-40","Above 40"))</f>
        <v>Above 40</v>
      </c>
      <c r="O300">
        <f>YEAR(HR_Table[[#This Row],[Joining_Date]])</f>
        <v>2022</v>
      </c>
    </row>
    <row r="301" spans="1:15" x14ac:dyDescent="0.3">
      <c r="A301" t="s">
        <v>311</v>
      </c>
      <c r="B301" t="s">
        <v>313</v>
      </c>
      <c r="C301">
        <v>54</v>
      </c>
      <c r="D301" t="s">
        <v>317</v>
      </c>
      <c r="E301" t="s">
        <v>322</v>
      </c>
      <c r="F301" t="s">
        <v>324</v>
      </c>
      <c r="G301">
        <v>52759</v>
      </c>
      <c r="H301" s="1">
        <v>43253</v>
      </c>
      <c r="I301" s="1">
        <v>43676</v>
      </c>
      <c r="J301">
        <v>4</v>
      </c>
      <c r="K301" t="s">
        <v>325</v>
      </c>
      <c r="L301" t="s">
        <v>330</v>
      </c>
      <c r="M301">
        <f ca="1">IF(HR_Table[[#This Row],[Exit_Date]]="",DATEDIF(HR_Table[[#This Row],[Joining_Date]],TODAY(),"Y"),DATEDIF(HR_Table[[#This Row],[Joining_Date]],HR_Table[[#This Row],[Exit_Date]],"Y"))</f>
        <v>1</v>
      </c>
      <c r="N301" t="str">
        <f>IF(HR_Table[[#This Row],[Age]]&lt;30,"Under 30",IF(HR_Table[[#This Row],[Age]]&lt;=40,"30-40","Above 40"))</f>
        <v>Above 40</v>
      </c>
      <c r="O301">
        <f>YEAR(HR_Table[[#This Row],[Joining_Date]])</f>
        <v>2018</v>
      </c>
    </row>
  </sheetData>
  <phoneticPr fontId="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51D41-24CB-44C1-857D-70706920DDE0}">
  <dimension ref="A1:H33"/>
  <sheetViews>
    <sheetView zoomScale="79" zoomScaleNormal="100" workbookViewId="0">
      <selection activeCell="K13" sqref="K13"/>
    </sheetView>
  </sheetViews>
  <sheetFormatPr defaultRowHeight="14.4" x14ac:dyDescent="0.3"/>
  <cols>
    <col min="1" max="1" width="12.5546875" bestFit="1" customWidth="1"/>
    <col min="2" max="2" width="28.21875" bestFit="1" customWidth="1"/>
    <col min="3" max="3" width="12.5546875" bestFit="1" customWidth="1"/>
    <col min="4" max="4" width="28.21875" bestFit="1" customWidth="1"/>
    <col min="5" max="5" width="24.88671875" bestFit="1" customWidth="1"/>
    <col min="6" max="6" width="7.21875" customWidth="1"/>
    <col min="7" max="7" width="13.44140625" bestFit="1" customWidth="1"/>
    <col min="8" max="8" width="29.21875" bestFit="1" customWidth="1"/>
    <col min="9" max="9" width="10.77734375" bestFit="1" customWidth="1"/>
    <col min="10" max="61" width="10.33203125" bestFit="1" customWidth="1"/>
    <col min="62" max="62" width="7" bestFit="1" customWidth="1"/>
    <col min="63" max="63" width="10.77734375" bestFit="1" customWidth="1"/>
    <col min="64" max="300" width="6" bestFit="1" customWidth="1"/>
    <col min="301" max="301" width="10.77734375" bestFit="1" customWidth="1"/>
  </cols>
  <sheetData>
    <row r="1" spans="1:8" x14ac:dyDescent="0.3">
      <c r="A1" s="14" t="s">
        <v>333</v>
      </c>
      <c r="B1" s="15" t="s">
        <v>334</v>
      </c>
      <c r="C1" s="15" t="s">
        <v>335</v>
      </c>
      <c r="D1" s="15" t="s">
        <v>336</v>
      </c>
      <c r="E1" s="15" t="s">
        <v>337</v>
      </c>
      <c r="F1" s="25" t="s">
        <v>341</v>
      </c>
      <c r="G1" s="26"/>
    </row>
    <row r="2" spans="1:8" ht="15" thickBot="1" x14ac:dyDescent="0.35">
      <c r="A2" s="16">
        <f>COUNTA(HR_Table[Employee_ID])</f>
        <v>300</v>
      </c>
      <c r="B2" s="17">
        <f>COUNTIF(HR_Table!L:L,"NO")</f>
        <v>241</v>
      </c>
      <c r="C2" s="18">
        <f>COUNTIF(HR_Table[Attrition],"Yes")/300</f>
        <v>0.19666666666666666</v>
      </c>
      <c r="D2" s="19">
        <f>AVERAGE(HR_Table[Monthly_Salary])</f>
        <v>59671.506666666668</v>
      </c>
      <c r="E2" s="20">
        <f>AVERAGE(HR_Table[Performance_Rating])</f>
        <v>3.0566666666666666</v>
      </c>
      <c r="F2" s="21">
        <f>COUNTIF(HR_Table[Performance_Rating],"&gt;=4")</f>
        <v>128</v>
      </c>
      <c r="G2" s="22">
        <f>COUNTIF(HR_Table[Performance_Rating],"&gt;=4") / COUNTA(HR_Table[Employee_ID])</f>
        <v>0.42666666666666669</v>
      </c>
    </row>
    <row r="3" spans="1:8" ht="15" thickBot="1" x14ac:dyDescent="0.35"/>
    <row r="4" spans="1:8" x14ac:dyDescent="0.3">
      <c r="A4" s="23" t="s">
        <v>362</v>
      </c>
      <c r="B4" s="24"/>
      <c r="D4" s="23" t="s">
        <v>345</v>
      </c>
      <c r="E4" s="24"/>
      <c r="G4" s="23" t="s">
        <v>364</v>
      </c>
      <c r="H4" s="24"/>
    </row>
    <row r="5" spans="1:8" x14ac:dyDescent="0.3">
      <c r="A5" s="5" t="s">
        <v>339</v>
      </c>
      <c r="B5" s="6" t="s">
        <v>342</v>
      </c>
      <c r="D5" s="5" t="s">
        <v>339</v>
      </c>
      <c r="E5" s="6" t="s">
        <v>342</v>
      </c>
      <c r="G5" s="5" t="s">
        <v>339</v>
      </c>
      <c r="H5" s="6" t="s">
        <v>363</v>
      </c>
    </row>
    <row r="6" spans="1:8" x14ac:dyDescent="0.3">
      <c r="A6" s="7" t="s">
        <v>318</v>
      </c>
      <c r="B6" s="8">
        <v>71</v>
      </c>
      <c r="D6" s="7" t="s">
        <v>346</v>
      </c>
      <c r="E6" s="8">
        <v>96</v>
      </c>
      <c r="G6" s="7" t="s">
        <v>313</v>
      </c>
      <c r="H6" s="11">
        <v>3.1156462585034013</v>
      </c>
    </row>
    <row r="7" spans="1:8" x14ac:dyDescent="0.3">
      <c r="A7" s="7" t="s">
        <v>314</v>
      </c>
      <c r="B7" s="8">
        <v>73</v>
      </c>
      <c r="D7" s="7" t="s">
        <v>347</v>
      </c>
      <c r="E7" s="8">
        <v>138</v>
      </c>
      <c r="G7" s="7" t="s">
        <v>312</v>
      </c>
      <c r="H7" s="11">
        <v>3.0196078431372548</v>
      </c>
    </row>
    <row r="8" spans="1:8" ht="15" thickBot="1" x14ac:dyDescent="0.35">
      <c r="A8" s="7" t="s">
        <v>317</v>
      </c>
      <c r="B8" s="8">
        <v>53</v>
      </c>
      <c r="D8" s="7" t="s">
        <v>348</v>
      </c>
      <c r="E8" s="8">
        <v>66</v>
      </c>
      <c r="G8" s="9" t="s">
        <v>340</v>
      </c>
      <c r="H8" s="10">
        <v>3.0666666666666669</v>
      </c>
    </row>
    <row r="9" spans="1:8" ht="15" thickBot="1" x14ac:dyDescent="0.35">
      <c r="A9" s="7" t="s">
        <v>315</v>
      </c>
      <c r="B9" s="8">
        <v>61</v>
      </c>
      <c r="D9" s="9" t="s">
        <v>340</v>
      </c>
      <c r="E9" s="10">
        <v>300</v>
      </c>
    </row>
    <row r="10" spans="1:8" x14ac:dyDescent="0.3">
      <c r="A10" s="7" t="s">
        <v>316</v>
      </c>
      <c r="B10" s="8">
        <v>42</v>
      </c>
    </row>
    <row r="11" spans="1:8" ht="15" thickBot="1" x14ac:dyDescent="0.35">
      <c r="A11" s="9" t="s">
        <v>340</v>
      </c>
      <c r="B11" s="10">
        <v>300</v>
      </c>
    </row>
    <row r="12" spans="1:8" ht="15" thickBot="1" x14ac:dyDescent="0.35"/>
    <row r="13" spans="1:8" x14ac:dyDescent="0.3">
      <c r="A13" s="23" t="s">
        <v>344</v>
      </c>
      <c r="B13" s="24"/>
      <c r="D13" s="23" t="s">
        <v>350</v>
      </c>
      <c r="E13" s="24"/>
      <c r="G13" s="23" t="s">
        <v>365</v>
      </c>
      <c r="H13" s="24"/>
    </row>
    <row r="14" spans="1:8" x14ac:dyDescent="0.3">
      <c r="A14" s="5" t="s">
        <v>339</v>
      </c>
      <c r="B14" s="6" t="s">
        <v>343</v>
      </c>
      <c r="D14" s="5" t="s">
        <v>339</v>
      </c>
      <c r="E14" s="6" t="s">
        <v>349</v>
      </c>
      <c r="G14" s="5" t="s">
        <v>339</v>
      </c>
      <c r="H14" s="6" t="s">
        <v>363</v>
      </c>
    </row>
    <row r="15" spans="1:8" x14ac:dyDescent="0.3">
      <c r="A15" s="7" t="s">
        <v>318</v>
      </c>
      <c r="B15" s="8">
        <v>71</v>
      </c>
      <c r="D15" s="7" t="s">
        <v>318</v>
      </c>
      <c r="E15" s="12">
        <v>59391.098591549293</v>
      </c>
      <c r="G15" s="7" t="s">
        <v>318</v>
      </c>
      <c r="H15" s="11">
        <v>2.9295774647887325</v>
      </c>
    </row>
    <row r="16" spans="1:8" x14ac:dyDescent="0.3">
      <c r="A16" s="7" t="s">
        <v>314</v>
      </c>
      <c r="B16" s="8">
        <v>73</v>
      </c>
      <c r="D16" s="7" t="s">
        <v>314</v>
      </c>
      <c r="E16" s="12">
        <v>56905.027397260274</v>
      </c>
      <c r="G16" s="7" t="s">
        <v>314</v>
      </c>
      <c r="H16" s="11">
        <v>3.1232876712328768</v>
      </c>
    </row>
    <row r="17" spans="1:8" x14ac:dyDescent="0.3">
      <c r="A17" s="7" t="s">
        <v>317</v>
      </c>
      <c r="B17" s="8">
        <v>53</v>
      </c>
      <c r="D17" s="7" t="s">
        <v>317</v>
      </c>
      <c r="E17" s="12">
        <v>60128.962264150941</v>
      </c>
      <c r="G17" s="7" t="s">
        <v>317</v>
      </c>
      <c r="H17" s="11">
        <v>2.8867924528301887</v>
      </c>
    </row>
    <row r="18" spans="1:8" x14ac:dyDescent="0.3">
      <c r="A18" s="7" t="s">
        <v>315</v>
      </c>
      <c r="B18" s="8">
        <v>61</v>
      </c>
      <c r="D18" s="7" t="s">
        <v>315</v>
      </c>
      <c r="E18" s="12">
        <v>61654.37704918033</v>
      </c>
      <c r="G18" s="7" t="s">
        <v>315</v>
      </c>
      <c r="H18" s="11">
        <v>3.0491803278688523</v>
      </c>
    </row>
    <row r="19" spans="1:8" x14ac:dyDescent="0.3">
      <c r="A19" s="7" t="s">
        <v>316</v>
      </c>
      <c r="B19" s="8">
        <v>42</v>
      </c>
      <c r="D19" s="7" t="s">
        <v>316</v>
      </c>
      <c r="E19" s="12">
        <v>61496.785714285717</v>
      </c>
      <c r="G19" s="7" t="s">
        <v>316</v>
      </c>
      <c r="H19" s="11">
        <v>3.4523809523809526</v>
      </c>
    </row>
    <row r="20" spans="1:8" ht="15" thickBot="1" x14ac:dyDescent="0.35">
      <c r="A20" s="9" t="s">
        <v>340</v>
      </c>
      <c r="B20" s="10">
        <v>300</v>
      </c>
      <c r="D20" s="9" t="s">
        <v>340</v>
      </c>
      <c r="E20" s="13">
        <v>59671.506666666668</v>
      </c>
      <c r="G20" s="9" t="s">
        <v>340</v>
      </c>
      <c r="H20" s="10">
        <v>3.0666666666666669</v>
      </c>
    </row>
    <row r="21" spans="1:8" ht="15" thickBot="1" x14ac:dyDescent="0.35"/>
    <row r="22" spans="1:8" x14ac:dyDescent="0.3">
      <c r="A22" s="27" t="s">
        <v>367</v>
      </c>
      <c r="B22" s="28"/>
      <c r="D22" s="27" t="s">
        <v>366</v>
      </c>
      <c r="E22" s="28"/>
    </row>
    <row r="23" spans="1:8" x14ac:dyDescent="0.3">
      <c r="A23" s="5" t="s">
        <v>339</v>
      </c>
      <c r="B23" s="6" t="s">
        <v>361</v>
      </c>
      <c r="D23" s="5" t="s">
        <v>339</v>
      </c>
      <c r="E23" s="6" t="s">
        <v>360</v>
      </c>
    </row>
    <row r="24" spans="1:8" x14ac:dyDescent="0.3">
      <c r="A24" s="7" t="s">
        <v>351</v>
      </c>
      <c r="B24" s="8">
        <v>12</v>
      </c>
      <c r="D24" s="7" t="s">
        <v>351</v>
      </c>
      <c r="E24" s="8">
        <v>40</v>
      </c>
    </row>
    <row r="25" spans="1:8" x14ac:dyDescent="0.3">
      <c r="A25" s="7" t="s">
        <v>352</v>
      </c>
      <c r="B25" s="8">
        <v>9</v>
      </c>
      <c r="D25" s="7" t="s">
        <v>352</v>
      </c>
      <c r="E25" s="8">
        <v>34</v>
      </c>
    </row>
    <row r="26" spans="1:8" x14ac:dyDescent="0.3">
      <c r="A26" s="7" t="s">
        <v>353</v>
      </c>
      <c r="B26" s="8">
        <v>9</v>
      </c>
      <c r="D26" s="7" t="s">
        <v>353</v>
      </c>
      <c r="E26" s="8">
        <v>32</v>
      </c>
    </row>
    <row r="27" spans="1:8" x14ac:dyDescent="0.3">
      <c r="A27" s="7" t="s">
        <v>354</v>
      </c>
      <c r="B27" s="8">
        <v>7</v>
      </c>
      <c r="D27" s="7" t="s">
        <v>354</v>
      </c>
      <c r="E27" s="8">
        <v>32</v>
      </c>
    </row>
    <row r="28" spans="1:8" x14ac:dyDescent="0.3">
      <c r="A28" s="7" t="s">
        <v>355</v>
      </c>
      <c r="B28" s="8">
        <v>9</v>
      </c>
      <c r="D28" s="7" t="s">
        <v>355</v>
      </c>
      <c r="E28" s="8">
        <v>40</v>
      </c>
    </row>
    <row r="29" spans="1:8" x14ac:dyDescent="0.3">
      <c r="A29" s="7" t="s">
        <v>356</v>
      </c>
      <c r="B29" s="8">
        <v>8</v>
      </c>
      <c r="D29" s="7" t="s">
        <v>356</v>
      </c>
      <c r="E29" s="8">
        <v>32</v>
      </c>
    </row>
    <row r="30" spans="1:8" x14ac:dyDescent="0.3">
      <c r="A30" s="7" t="s">
        <v>357</v>
      </c>
      <c r="B30" s="8">
        <v>4</v>
      </c>
      <c r="D30" s="7" t="s">
        <v>357</v>
      </c>
      <c r="E30" s="8">
        <v>46</v>
      </c>
    </row>
    <row r="31" spans="1:8" x14ac:dyDescent="0.3">
      <c r="A31" s="7" t="s">
        <v>358</v>
      </c>
      <c r="B31" s="8">
        <v>1</v>
      </c>
      <c r="D31" s="7" t="s">
        <v>358</v>
      </c>
      <c r="E31" s="8">
        <v>39</v>
      </c>
    </row>
    <row r="32" spans="1:8" x14ac:dyDescent="0.3">
      <c r="A32" s="7" t="s">
        <v>359</v>
      </c>
      <c r="B32" s="8"/>
      <c r="D32" s="7" t="s">
        <v>359</v>
      </c>
      <c r="E32" s="8">
        <v>5</v>
      </c>
    </row>
    <row r="33" spans="1:5" ht="15" thickBot="1" x14ac:dyDescent="0.35">
      <c r="A33" s="9" t="s">
        <v>340</v>
      </c>
      <c r="B33" s="10">
        <v>59</v>
      </c>
      <c r="D33" s="9" t="s">
        <v>340</v>
      </c>
      <c r="E33" s="10">
        <v>300</v>
      </c>
    </row>
  </sheetData>
  <mergeCells count="9">
    <mergeCell ref="D22:E22"/>
    <mergeCell ref="A22:B22"/>
    <mergeCell ref="G13:H13"/>
    <mergeCell ref="G4:H4"/>
    <mergeCell ref="F1:G1"/>
    <mergeCell ref="A4:B4"/>
    <mergeCell ref="A13:B13"/>
    <mergeCell ref="D4:E4"/>
    <mergeCell ref="D13:E13"/>
  </mergeCells>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2A943-32EB-4FD7-9B1B-435F487C9347}">
  <dimension ref="D1:S40"/>
  <sheetViews>
    <sheetView tabSelected="1" zoomScale="84" zoomScaleNormal="84" workbookViewId="0">
      <selection activeCell="AB20" sqref="AB20"/>
    </sheetView>
  </sheetViews>
  <sheetFormatPr defaultRowHeight="14.4" x14ac:dyDescent="0.3"/>
  <sheetData>
    <row r="1" spans="4:19" x14ac:dyDescent="0.3">
      <c r="D1" s="3"/>
      <c r="E1" s="3"/>
      <c r="F1" s="3"/>
      <c r="G1" s="3"/>
      <c r="H1" s="3"/>
      <c r="I1" s="3"/>
      <c r="J1" s="3"/>
      <c r="K1" s="3"/>
      <c r="L1" s="3"/>
      <c r="M1" s="3"/>
      <c r="N1" s="3"/>
      <c r="O1" s="3"/>
      <c r="P1" s="3"/>
      <c r="Q1" s="3"/>
      <c r="R1" s="3"/>
      <c r="S1" s="3"/>
    </row>
    <row r="2" spans="4:19" x14ac:dyDescent="0.3">
      <c r="D2" s="3"/>
      <c r="E2" s="3"/>
      <c r="F2" s="3"/>
      <c r="G2" s="3"/>
      <c r="H2" s="3"/>
      <c r="I2" s="3"/>
      <c r="J2" s="3"/>
      <c r="K2" s="3"/>
      <c r="L2" s="3"/>
      <c r="M2" s="3"/>
      <c r="N2" s="3"/>
      <c r="O2" s="3"/>
      <c r="P2" s="3"/>
      <c r="Q2" s="3"/>
      <c r="R2" s="3"/>
      <c r="S2" s="3"/>
    </row>
    <row r="3" spans="4:19" x14ac:dyDescent="0.3">
      <c r="D3" s="3"/>
      <c r="E3" s="3"/>
      <c r="F3" s="3"/>
      <c r="G3" s="3"/>
      <c r="H3" s="3"/>
      <c r="I3" s="3"/>
      <c r="J3" s="3"/>
      <c r="K3" s="3"/>
      <c r="L3" s="3"/>
      <c r="M3" s="3"/>
      <c r="N3" s="3"/>
      <c r="O3" s="3"/>
      <c r="P3" s="3"/>
      <c r="Q3" s="3"/>
      <c r="R3" s="3"/>
      <c r="S3" s="3"/>
    </row>
    <row r="4" spans="4:19" x14ac:dyDescent="0.3">
      <c r="D4" s="3"/>
      <c r="E4" s="3"/>
      <c r="F4" s="3"/>
      <c r="G4" s="3"/>
      <c r="H4" s="3"/>
      <c r="I4" s="3"/>
      <c r="J4" s="3"/>
      <c r="K4" s="3"/>
      <c r="L4" s="3"/>
      <c r="M4" s="3"/>
      <c r="N4" s="3"/>
      <c r="O4" s="3"/>
      <c r="P4" s="3"/>
      <c r="Q4" s="3"/>
      <c r="R4" s="3"/>
      <c r="S4" s="3"/>
    </row>
    <row r="5" spans="4:19" x14ac:dyDescent="0.3">
      <c r="D5" s="3"/>
      <c r="E5" s="3"/>
      <c r="F5" s="3"/>
      <c r="G5" s="3"/>
      <c r="H5" s="3"/>
      <c r="I5" s="3"/>
      <c r="J5" s="3"/>
      <c r="K5" s="3"/>
      <c r="L5" s="3"/>
      <c r="M5" s="3"/>
      <c r="N5" s="3"/>
      <c r="O5" s="3"/>
      <c r="P5" s="3"/>
      <c r="Q5" s="3"/>
      <c r="R5" s="3"/>
      <c r="S5" s="3"/>
    </row>
    <row r="6" spans="4:19" x14ac:dyDescent="0.3">
      <c r="D6" s="3"/>
      <c r="E6" s="3"/>
      <c r="F6" s="3"/>
      <c r="G6" s="3"/>
      <c r="H6" s="3"/>
      <c r="I6" s="3"/>
      <c r="J6" s="3"/>
      <c r="K6" s="3"/>
      <c r="L6" s="3"/>
      <c r="M6" s="3"/>
      <c r="N6" s="3"/>
      <c r="O6" s="3"/>
      <c r="P6" s="3"/>
      <c r="Q6" s="3"/>
      <c r="R6" s="3"/>
      <c r="S6" s="3"/>
    </row>
    <row r="7" spans="4:19" x14ac:dyDescent="0.3">
      <c r="D7" s="3"/>
      <c r="E7" s="3"/>
      <c r="F7" s="3"/>
      <c r="G7" s="3"/>
      <c r="H7" s="3"/>
      <c r="I7" s="3"/>
      <c r="J7" s="3"/>
      <c r="K7" s="3"/>
      <c r="L7" s="3"/>
      <c r="M7" s="3"/>
      <c r="N7" s="3"/>
      <c r="O7" s="3"/>
      <c r="P7" s="3"/>
      <c r="Q7" s="3"/>
      <c r="R7" s="3"/>
      <c r="S7" s="3"/>
    </row>
    <row r="8" spans="4:19" x14ac:dyDescent="0.3">
      <c r="D8" s="3"/>
      <c r="E8" s="3"/>
      <c r="F8" s="3"/>
      <c r="G8" s="3"/>
      <c r="H8" s="3"/>
      <c r="I8" s="3"/>
      <c r="J8" s="3"/>
      <c r="K8" s="4"/>
      <c r="L8" s="3"/>
      <c r="M8" s="3"/>
      <c r="N8" s="3"/>
      <c r="O8" s="3"/>
      <c r="P8" s="3"/>
      <c r="Q8" s="3"/>
      <c r="R8" s="3"/>
      <c r="S8" s="3"/>
    </row>
    <row r="9" spans="4:19" x14ac:dyDescent="0.3">
      <c r="D9" s="3"/>
      <c r="E9" s="3"/>
      <c r="F9" s="3"/>
      <c r="G9" s="3"/>
      <c r="H9" s="3"/>
      <c r="I9" s="3"/>
      <c r="J9" s="3"/>
      <c r="K9" s="3"/>
      <c r="L9" s="3"/>
      <c r="M9" s="3"/>
      <c r="N9" s="3"/>
      <c r="O9" s="3"/>
      <c r="P9" s="3"/>
      <c r="Q9" s="3"/>
      <c r="R9" s="3"/>
      <c r="S9" s="3"/>
    </row>
    <row r="10" spans="4:19" x14ac:dyDescent="0.3">
      <c r="D10" s="3"/>
      <c r="E10" s="3"/>
      <c r="F10" s="3"/>
      <c r="G10" s="3"/>
      <c r="H10" s="3"/>
      <c r="I10" s="3"/>
      <c r="J10" s="3"/>
      <c r="K10" s="3"/>
      <c r="L10" s="3"/>
      <c r="M10" s="3"/>
      <c r="N10" s="3"/>
      <c r="O10" s="3"/>
      <c r="P10" s="3"/>
      <c r="Q10" s="3"/>
      <c r="R10" s="3"/>
      <c r="S10" s="3"/>
    </row>
    <row r="11" spans="4:19" x14ac:dyDescent="0.3">
      <c r="D11" s="3"/>
      <c r="E11" s="3"/>
      <c r="F11" s="3"/>
      <c r="G11" s="3"/>
      <c r="H11" s="3"/>
      <c r="I11" s="3"/>
      <c r="J11" s="3"/>
      <c r="K11" s="3"/>
      <c r="L11" s="3"/>
      <c r="M11" s="3"/>
      <c r="N11" s="3"/>
      <c r="O11" s="3"/>
      <c r="P11" s="3"/>
      <c r="Q11" s="3"/>
      <c r="R11" s="3"/>
      <c r="S11" s="3"/>
    </row>
    <row r="12" spans="4:19" x14ac:dyDescent="0.3">
      <c r="D12" s="3"/>
      <c r="E12" s="3"/>
      <c r="F12" s="3"/>
      <c r="G12" s="3"/>
      <c r="H12" s="3"/>
      <c r="I12" s="3"/>
      <c r="J12" s="3"/>
      <c r="K12" s="3"/>
      <c r="L12" s="3"/>
      <c r="M12" s="3"/>
      <c r="N12" s="3"/>
      <c r="O12" s="3"/>
      <c r="P12" s="3"/>
      <c r="Q12" s="3"/>
      <c r="R12" s="3"/>
      <c r="S12" s="3"/>
    </row>
    <row r="13" spans="4:19" x14ac:dyDescent="0.3">
      <c r="D13" s="3"/>
      <c r="E13" s="3"/>
      <c r="F13" s="3"/>
      <c r="G13" s="3"/>
      <c r="H13" s="3"/>
      <c r="I13" s="3"/>
      <c r="J13" s="3"/>
      <c r="K13" s="3"/>
      <c r="L13" s="3"/>
      <c r="M13" s="3"/>
      <c r="N13" s="3"/>
      <c r="O13" s="3"/>
      <c r="P13" s="3"/>
      <c r="Q13" s="3"/>
      <c r="R13" s="3"/>
      <c r="S13" s="3"/>
    </row>
    <row r="14" spans="4:19" x14ac:dyDescent="0.3">
      <c r="D14" s="3"/>
      <c r="E14" s="3"/>
      <c r="F14" s="3"/>
      <c r="G14" s="3"/>
      <c r="H14" s="3"/>
      <c r="I14" s="3"/>
      <c r="J14" s="3"/>
      <c r="K14" s="3"/>
      <c r="L14" s="3"/>
      <c r="M14" s="3"/>
      <c r="N14" s="3"/>
      <c r="O14" s="3"/>
      <c r="P14" s="3"/>
      <c r="Q14" s="3"/>
      <c r="R14" s="3"/>
      <c r="S14" s="3"/>
    </row>
    <row r="15" spans="4:19" x14ac:dyDescent="0.3">
      <c r="D15" s="3"/>
      <c r="E15" s="3"/>
      <c r="F15" s="3"/>
      <c r="G15" s="3"/>
      <c r="H15" s="3"/>
      <c r="I15" s="3"/>
      <c r="J15" s="3"/>
      <c r="K15" s="3"/>
      <c r="L15" s="3"/>
      <c r="M15" s="3"/>
      <c r="N15" s="3"/>
      <c r="O15" s="3"/>
      <c r="P15" s="3"/>
      <c r="Q15" s="3"/>
      <c r="R15" s="3"/>
      <c r="S15" s="3"/>
    </row>
    <row r="16" spans="4:19" x14ac:dyDescent="0.3">
      <c r="D16" s="3"/>
      <c r="E16" s="3"/>
      <c r="F16" s="3"/>
      <c r="G16" s="3"/>
      <c r="H16" s="3"/>
      <c r="I16" s="3"/>
      <c r="J16" s="3"/>
      <c r="K16" s="3"/>
      <c r="L16" s="3"/>
      <c r="M16" s="3"/>
      <c r="N16" s="3"/>
      <c r="O16" s="3"/>
      <c r="P16" s="3"/>
      <c r="Q16" s="3"/>
      <c r="R16" s="3"/>
      <c r="S16" s="3"/>
    </row>
    <row r="17" spans="4:19" x14ac:dyDescent="0.3">
      <c r="D17" s="3"/>
      <c r="E17" s="3"/>
      <c r="F17" s="3"/>
      <c r="G17" s="3"/>
      <c r="H17" s="3"/>
      <c r="I17" s="3"/>
      <c r="J17" s="3"/>
      <c r="K17" s="3"/>
      <c r="L17" s="3"/>
      <c r="M17" s="3"/>
      <c r="N17" s="3"/>
      <c r="O17" s="3"/>
      <c r="P17" s="3"/>
      <c r="Q17" s="3"/>
      <c r="R17" s="3"/>
      <c r="S17" s="3"/>
    </row>
    <row r="18" spans="4:19" x14ac:dyDescent="0.3">
      <c r="D18" s="3"/>
      <c r="E18" s="3"/>
      <c r="F18" s="3"/>
      <c r="G18" s="3"/>
      <c r="H18" s="3"/>
      <c r="I18" s="3"/>
      <c r="J18" s="3"/>
      <c r="K18" s="3"/>
      <c r="L18" s="3"/>
      <c r="M18" s="3"/>
      <c r="N18" s="3"/>
      <c r="O18" s="3"/>
      <c r="P18" s="3"/>
      <c r="Q18" s="3"/>
      <c r="R18" s="3"/>
      <c r="S18" s="3"/>
    </row>
    <row r="19" spans="4:19" x14ac:dyDescent="0.3">
      <c r="D19" s="3"/>
      <c r="E19" s="3"/>
      <c r="F19" s="3"/>
      <c r="G19" s="3"/>
      <c r="H19" s="3"/>
      <c r="I19" s="3"/>
      <c r="J19" s="3"/>
      <c r="K19" s="3"/>
      <c r="L19" s="3"/>
      <c r="M19" s="3"/>
      <c r="N19" s="3"/>
      <c r="O19" s="3"/>
      <c r="P19" s="3"/>
      <c r="Q19" s="3"/>
      <c r="R19" s="3"/>
      <c r="S19" s="3"/>
    </row>
    <row r="20" spans="4:19" x14ac:dyDescent="0.3">
      <c r="D20" s="3"/>
      <c r="E20" s="3"/>
      <c r="F20" s="3"/>
      <c r="G20" s="3"/>
      <c r="H20" s="3"/>
      <c r="I20" s="3"/>
      <c r="J20" s="3"/>
      <c r="K20" s="3"/>
      <c r="L20" s="3"/>
      <c r="M20" s="3"/>
      <c r="N20" s="3"/>
      <c r="O20" s="3"/>
      <c r="P20" s="3"/>
      <c r="Q20" s="3"/>
      <c r="R20" s="3"/>
      <c r="S20" s="3"/>
    </row>
    <row r="21" spans="4:19" x14ac:dyDescent="0.3">
      <c r="D21" s="3"/>
      <c r="E21" s="3"/>
      <c r="F21" s="3"/>
      <c r="G21" s="3"/>
      <c r="H21" s="3"/>
      <c r="I21" s="3"/>
      <c r="J21" s="3"/>
      <c r="K21" s="3"/>
      <c r="L21" s="3"/>
      <c r="M21" s="3"/>
      <c r="N21" s="3"/>
      <c r="O21" s="3"/>
      <c r="P21" s="3"/>
      <c r="Q21" s="3"/>
      <c r="R21" s="3"/>
      <c r="S21" s="3"/>
    </row>
    <row r="22" spans="4:19" x14ac:dyDescent="0.3">
      <c r="D22" s="3"/>
      <c r="E22" s="3"/>
      <c r="F22" s="3"/>
      <c r="G22" s="3"/>
      <c r="H22" s="3"/>
      <c r="I22" s="3"/>
      <c r="J22" s="3"/>
      <c r="K22" s="3"/>
      <c r="L22" s="3"/>
      <c r="M22" s="3"/>
      <c r="N22" s="3"/>
      <c r="O22" s="3"/>
      <c r="P22" s="3"/>
      <c r="Q22" s="3"/>
      <c r="R22" s="3"/>
      <c r="S22" s="3"/>
    </row>
    <row r="23" spans="4:19" x14ac:dyDescent="0.3">
      <c r="D23" s="3"/>
      <c r="E23" s="3"/>
      <c r="F23" s="3"/>
      <c r="G23" s="3"/>
      <c r="H23" s="3"/>
      <c r="I23" s="3"/>
      <c r="J23" s="3"/>
      <c r="K23" s="3"/>
      <c r="L23" s="3"/>
      <c r="M23" s="3"/>
      <c r="N23" s="3"/>
      <c r="O23" s="3"/>
      <c r="P23" s="3"/>
      <c r="Q23" s="3"/>
      <c r="R23" s="3"/>
      <c r="S23" s="3"/>
    </row>
    <row r="24" spans="4:19" x14ac:dyDescent="0.3">
      <c r="D24" s="3"/>
      <c r="E24" s="3"/>
      <c r="F24" s="3"/>
      <c r="G24" s="3"/>
      <c r="H24" s="3"/>
      <c r="I24" s="3"/>
      <c r="J24" s="3"/>
      <c r="K24" s="3"/>
      <c r="L24" s="3"/>
      <c r="M24" s="3"/>
      <c r="N24" s="3"/>
      <c r="O24" s="3"/>
      <c r="P24" s="3"/>
      <c r="Q24" s="3"/>
      <c r="R24" s="3"/>
      <c r="S24" s="3"/>
    </row>
    <row r="25" spans="4:19" x14ac:dyDescent="0.3">
      <c r="D25" s="3"/>
      <c r="E25" s="3"/>
      <c r="F25" s="3"/>
      <c r="G25" s="3"/>
      <c r="H25" s="3"/>
      <c r="I25" s="3"/>
      <c r="J25" s="3"/>
      <c r="K25" s="3"/>
      <c r="L25" s="3"/>
      <c r="M25" s="3"/>
      <c r="N25" s="3"/>
      <c r="O25" s="3"/>
      <c r="P25" s="3"/>
      <c r="Q25" s="3"/>
      <c r="R25" s="3"/>
      <c r="S25" s="3"/>
    </row>
    <row r="26" spans="4:19" x14ac:dyDescent="0.3">
      <c r="D26" s="3"/>
      <c r="E26" s="3"/>
      <c r="F26" s="3"/>
      <c r="G26" s="3"/>
      <c r="H26" s="3"/>
      <c r="I26" s="3"/>
      <c r="J26" s="3"/>
      <c r="K26" s="3"/>
      <c r="L26" s="3"/>
      <c r="M26" s="3"/>
      <c r="N26" s="3"/>
      <c r="O26" s="3"/>
      <c r="P26" s="3"/>
      <c r="Q26" s="3"/>
      <c r="R26" s="3"/>
      <c r="S26" s="3"/>
    </row>
    <row r="27" spans="4:19" x14ac:dyDescent="0.3">
      <c r="D27" s="3"/>
      <c r="E27" s="3"/>
      <c r="F27" s="3"/>
      <c r="G27" s="3"/>
      <c r="H27" s="3"/>
      <c r="I27" s="3"/>
      <c r="J27" s="3"/>
      <c r="K27" s="3"/>
      <c r="L27" s="3"/>
      <c r="M27" s="3"/>
      <c r="N27" s="3"/>
      <c r="O27" s="3"/>
      <c r="P27" s="3"/>
      <c r="Q27" s="3"/>
      <c r="R27" s="3"/>
      <c r="S27" s="3"/>
    </row>
    <row r="28" spans="4:19" x14ac:dyDescent="0.3">
      <c r="D28" s="3"/>
      <c r="E28" s="3"/>
      <c r="F28" s="3"/>
      <c r="G28" s="3"/>
      <c r="H28" s="3"/>
      <c r="I28" s="3"/>
      <c r="J28" s="3"/>
      <c r="K28" s="3"/>
      <c r="L28" s="3"/>
      <c r="M28" s="3"/>
      <c r="N28" s="3"/>
      <c r="O28" s="3"/>
      <c r="P28" s="3"/>
      <c r="Q28" s="3"/>
      <c r="R28" s="3"/>
      <c r="S28" s="3"/>
    </row>
    <row r="29" spans="4:19" x14ac:dyDescent="0.3">
      <c r="D29" s="3"/>
      <c r="E29" s="3"/>
      <c r="F29" s="3"/>
      <c r="G29" s="3"/>
      <c r="H29" s="3"/>
      <c r="I29" s="3"/>
      <c r="J29" s="3"/>
      <c r="K29" s="3"/>
      <c r="L29" s="3"/>
      <c r="M29" s="3"/>
      <c r="N29" s="3"/>
      <c r="O29" s="3"/>
      <c r="P29" s="3"/>
      <c r="Q29" s="3"/>
      <c r="R29" s="3"/>
      <c r="S29" s="3"/>
    </row>
    <row r="30" spans="4:19" x14ac:dyDescent="0.3">
      <c r="D30" s="3"/>
      <c r="E30" s="3"/>
      <c r="F30" s="3"/>
      <c r="G30" s="3"/>
      <c r="H30" s="3"/>
      <c r="I30" s="3"/>
      <c r="J30" s="3"/>
      <c r="K30" s="3"/>
      <c r="L30" s="3"/>
      <c r="M30" s="3"/>
      <c r="N30" s="3"/>
      <c r="O30" s="3"/>
      <c r="P30" s="3"/>
      <c r="Q30" s="3"/>
      <c r="R30" s="3"/>
      <c r="S30" s="3"/>
    </row>
    <row r="31" spans="4:19" x14ac:dyDescent="0.3">
      <c r="D31" s="3"/>
      <c r="E31" s="3"/>
      <c r="F31" s="3"/>
      <c r="G31" s="3"/>
      <c r="H31" s="3"/>
      <c r="I31" s="3"/>
      <c r="J31" s="3"/>
      <c r="K31" s="3"/>
      <c r="L31" s="3"/>
      <c r="M31" s="3"/>
      <c r="N31" s="3"/>
      <c r="O31" s="3"/>
      <c r="P31" s="3"/>
      <c r="Q31" s="3"/>
      <c r="R31" s="3"/>
      <c r="S31" s="3"/>
    </row>
    <row r="32" spans="4:19" x14ac:dyDescent="0.3">
      <c r="D32" s="3"/>
      <c r="E32" s="3"/>
      <c r="F32" s="3"/>
      <c r="G32" s="3"/>
      <c r="H32" s="3"/>
      <c r="I32" s="3"/>
      <c r="J32" s="3"/>
      <c r="K32" s="3"/>
      <c r="L32" s="3"/>
      <c r="M32" s="3"/>
      <c r="N32" s="3"/>
      <c r="O32" s="3"/>
      <c r="P32" s="3"/>
      <c r="Q32" s="3"/>
      <c r="R32" s="3"/>
      <c r="S32" s="3"/>
    </row>
    <row r="33" spans="4:19" x14ac:dyDescent="0.3">
      <c r="D33" s="3"/>
      <c r="E33" s="3"/>
      <c r="F33" s="3"/>
      <c r="G33" s="3"/>
      <c r="H33" s="3"/>
      <c r="I33" s="3"/>
      <c r="J33" s="3"/>
      <c r="K33" s="3"/>
      <c r="L33" s="3"/>
      <c r="M33" s="3"/>
      <c r="N33" s="3"/>
      <c r="O33" s="3"/>
      <c r="P33" s="3"/>
      <c r="Q33" s="3"/>
      <c r="R33" s="3"/>
      <c r="S33" s="3"/>
    </row>
    <row r="34" spans="4:19" x14ac:dyDescent="0.3">
      <c r="D34" s="3"/>
      <c r="E34" s="3"/>
      <c r="F34" s="3"/>
      <c r="G34" s="3"/>
      <c r="H34" s="3"/>
      <c r="I34" s="3"/>
      <c r="J34" s="3"/>
      <c r="K34" s="3"/>
      <c r="L34" s="3"/>
      <c r="M34" s="3"/>
      <c r="N34" s="3"/>
      <c r="O34" s="3"/>
      <c r="P34" s="3"/>
      <c r="Q34" s="3"/>
      <c r="R34" s="3"/>
      <c r="S34" s="3"/>
    </row>
    <row r="35" spans="4:19" x14ac:dyDescent="0.3">
      <c r="D35" s="3"/>
      <c r="E35" s="3"/>
      <c r="F35" s="3"/>
      <c r="G35" s="3"/>
      <c r="H35" s="3"/>
      <c r="I35" s="3"/>
      <c r="J35" s="3"/>
      <c r="K35" s="3"/>
      <c r="L35" s="3"/>
      <c r="M35" s="3"/>
      <c r="N35" s="3"/>
      <c r="O35" s="3"/>
      <c r="P35" s="3"/>
      <c r="Q35" s="3"/>
      <c r="R35" s="3"/>
      <c r="S35" s="3"/>
    </row>
    <row r="36" spans="4:19" x14ac:dyDescent="0.3">
      <c r="D36" s="3"/>
      <c r="E36" s="3"/>
      <c r="F36" s="3"/>
      <c r="G36" s="3"/>
      <c r="H36" s="3"/>
      <c r="I36" s="3"/>
      <c r="J36" s="3"/>
      <c r="K36" s="3"/>
      <c r="L36" s="3"/>
      <c r="M36" s="3"/>
      <c r="N36" s="3"/>
      <c r="O36" s="3"/>
      <c r="P36" s="3"/>
      <c r="Q36" s="3"/>
      <c r="R36" s="3"/>
      <c r="S36" s="3"/>
    </row>
    <row r="37" spans="4:19" x14ac:dyDescent="0.3">
      <c r="D37" s="3"/>
      <c r="E37" s="3"/>
      <c r="F37" s="3"/>
      <c r="G37" s="3"/>
      <c r="H37" s="3"/>
      <c r="I37" s="3"/>
      <c r="J37" s="3"/>
      <c r="K37" s="3"/>
      <c r="L37" s="3"/>
      <c r="M37" s="3"/>
      <c r="N37" s="3"/>
      <c r="O37" s="3"/>
      <c r="P37" s="3"/>
      <c r="Q37" s="3"/>
      <c r="R37" s="3"/>
      <c r="S37" s="3"/>
    </row>
    <row r="38" spans="4:19" x14ac:dyDescent="0.3">
      <c r="D38" s="3"/>
      <c r="E38" s="3"/>
      <c r="F38" s="3"/>
      <c r="G38" s="3"/>
      <c r="H38" s="3"/>
      <c r="I38" s="3"/>
      <c r="J38" s="3"/>
      <c r="K38" s="3"/>
      <c r="L38" s="3"/>
      <c r="M38" s="3"/>
      <c r="N38" s="3"/>
      <c r="O38" s="3"/>
      <c r="P38" s="3"/>
      <c r="Q38" s="3"/>
      <c r="R38" s="3"/>
      <c r="S38" s="3"/>
    </row>
    <row r="39" spans="4:19" x14ac:dyDescent="0.3">
      <c r="D39" s="3"/>
      <c r="E39" s="3"/>
      <c r="F39" s="3"/>
      <c r="G39" s="3"/>
      <c r="H39" s="3"/>
      <c r="I39" s="3"/>
      <c r="J39" s="3"/>
      <c r="K39" s="3"/>
      <c r="L39" s="3"/>
      <c r="M39" s="3"/>
      <c r="N39" s="3"/>
      <c r="O39" s="3"/>
      <c r="P39" s="3"/>
      <c r="Q39" s="3"/>
      <c r="R39" s="3"/>
      <c r="S39" s="3"/>
    </row>
    <row r="40" spans="4:19" x14ac:dyDescent="0.3">
      <c r="D40" s="3"/>
      <c r="E40" s="3"/>
      <c r="F40" s="3"/>
      <c r="G40" s="3"/>
      <c r="H40" s="3"/>
      <c r="I40" s="3"/>
      <c r="J40" s="3"/>
      <c r="K40" s="3"/>
      <c r="L40" s="3"/>
      <c r="M40" s="3"/>
      <c r="N40" s="3"/>
      <c r="O40" s="3"/>
      <c r="P40" s="3"/>
      <c r="Q40" s="3"/>
      <c r="R40" s="3"/>
      <c r="S40"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HR_Table</vt:lpstr>
      <vt:lpstr>HR_Analysis</vt:lpstr>
      <vt:lpstr>HR_Dashboard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mehulgojiya390@gmail.com</cp:lastModifiedBy>
  <dcterms:created xsi:type="dcterms:W3CDTF">2026-01-16T06:10:50Z</dcterms:created>
  <dcterms:modified xsi:type="dcterms:W3CDTF">2026-03-11T13:48:51Z</dcterms:modified>
</cp:coreProperties>
</file>